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HP\OneDrive\Desktop\excel task2\"/>
    </mc:Choice>
  </mc:AlternateContent>
  <xr:revisionPtr revIDLastSave="0" documentId="8_{612590C5-26ED-483F-8398-D79FDD8459F0}" xr6:coauthVersionLast="47" xr6:coauthVersionMax="47" xr10:uidLastSave="{00000000-0000-0000-0000-000000000000}"/>
  <bookViews>
    <workbookView xWindow="-108" yWindow="-108" windowWidth="23256" windowHeight="12456" xr2:uid="{4FEF284F-4F62-488D-8C51-E6BE3F6C3A3B}"/>
  </bookViews>
  <sheets>
    <sheet name="Sheet2" sheetId="4" r:id="rId1"/>
    <sheet name="dashboard" sheetId="5" r:id="rId2"/>
    <sheet name="Sheet1" sheetId="1" r:id="rId3"/>
    <sheet name="answers" sheetId="3" r:id="rId4"/>
    <sheet name="lookuptable" sheetId="2" r:id="rId5"/>
    <sheet name="original" sheetId="6" r:id="rId6"/>
  </sheets>
  <definedNames>
    <definedName name="_xlcn.WorksheetConnection_Assignment2.xlsxTable1" hidden="1">Table1[]</definedName>
    <definedName name="Slicer_Category">#N/A</definedName>
    <definedName name="Slicer_Region">#N/A</definedName>
    <definedName name="Slicer_Sales_Channel">#N/A</definedName>
    <definedName name="Slicer_Status">#N/A</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ssignment2.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3" l="1"/>
  <c r="B10" i="3"/>
  <c r="B9" i="3"/>
  <c r="B8" i="3"/>
  <c r="B7" i="3"/>
  <c r="B4" i="3"/>
  <c r="B3" i="3"/>
  <c r="B2" i="3"/>
  <c r="I80" i="1"/>
  <c r="B19" i="3"/>
  <c r="C17" i="3"/>
  <c r="C18" i="3"/>
  <c r="C20" i="3"/>
  <c r="I86" i="1"/>
  <c r="I88" i="1"/>
  <c r="AA3" i="1"/>
  <c r="AA60" i="1"/>
  <c r="AA56" i="1"/>
  <c r="AA10" i="1"/>
  <c r="AA74" i="1"/>
  <c r="AA7" i="1"/>
  <c r="AA8" i="1"/>
  <c r="AA30" i="1"/>
  <c r="AA24" i="1"/>
  <c r="AA11" i="1"/>
  <c r="AA13" i="1"/>
  <c r="AA54" i="1"/>
  <c r="AA26" i="1"/>
  <c r="AA15" i="1"/>
  <c r="AA2" i="1"/>
  <c r="AA17" i="1"/>
  <c r="AA18" i="1"/>
  <c r="AA19" i="1"/>
  <c r="AA6" i="1"/>
  <c r="AA69" i="1"/>
  <c r="AA22" i="1"/>
  <c r="AA23" i="1"/>
  <c r="AA21" i="1"/>
  <c r="AA47" i="1"/>
  <c r="AA50" i="1"/>
  <c r="AA27" i="1"/>
  <c r="AA28" i="1"/>
  <c r="AA40" i="1"/>
  <c r="AA39" i="1"/>
  <c r="AA57" i="1"/>
  <c r="AA14" i="1"/>
  <c r="AA33" i="1"/>
  <c r="AA9" i="1"/>
  <c r="AA46" i="1"/>
  <c r="AA36" i="1"/>
  <c r="AA4" i="1"/>
  <c r="AA38" i="1"/>
  <c r="AA35" i="1"/>
  <c r="AA20" i="1"/>
  <c r="AA41" i="1"/>
  <c r="AA16" i="1"/>
  <c r="AA43" i="1"/>
  <c r="AA31" i="1"/>
  <c r="AA45" i="1"/>
  <c r="AA5" i="1"/>
  <c r="AA52" i="1"/>
  <c r="AA48" i="1"/>
  <c r="AA12" i="1"/>
  <c r="AA34" i="1"/>
  <c r="AA51" i="1"/>
  <c r="AA49" i="1"/>
  <c r="AA53" i="1"/>
  <c r="AA42" i="1"/>
  <c r="AA55" i="1"/>
  <c r="AA58" i="1"/>
  <c r="AA61" i="1"/>
  <c r="AA44" i="1"/>
  <c r="AA59" i="1"/>
  <c r="AA25" i="1"/>
  <c r="AA32" i="1"/>
  <c r="AA62" i="1"/>
  <c r="AA63" i="1"/>
  <c r="AA64" i="1"/>
  <c r="AA65" i="1"/>
  <c r="AA66" i="1"/>
  <c r="AA67" i="1"/>
  <c r="AA68" i="1"/>
  <c r="AA70" i="1"/>
  <c r="AA37" i="1"/>
  <c r="AA71" i="1"/>
  <c r="AA72" i="1"/>
  <c r="AA73" i="1"/>
  <c r="AA29" i="1"/>
  <c r="AA75" i="1"/>
  <c r="AA76" i="1"/>
  <c r="AA77" i="1"/>
  <c r="Z3" i="1"/>
  <c r="Z60" i="1"/>
  <c r="Z56" i="1"/>
  <c r="Z10" i="1"/>
  <c r="Z74" i="1"/>
  <c r="Z7" i="1"/>
  <c r="Z8" i="1"/>
  <c r="Z30" i="1"/>
  <c r="Z24" i="1"/>
  <c r="Z11" i="1"/>
  <c r="Z13" i="1"/>
  <c r="Z54" i="1"/>
  <c r="Z26" i="1"/>
  <c r="Z15" i="1"/>
  <c r="Z2" i="1"/>
  <c r="Z17" i="1"/>
  <c r="Z18" i="1"/>
  <c r="Z19" i="1"/>
  <c r="Z6" i="1"/>
  <c r="Z69" i="1"/>
  <c r="Z22" i="1"/>
  <c r="Z23" i="1"/>
  <c r="Z21" i="1"/>
  <c r="Z47" i="1"/>
  <c r="Z50" i="1"/>
  <c r="Z27" i="1"/>
  <c r="Z28" i="1"/>
  <c r="Z40" i="1"/>
  <c r="Z39" i="1"/>
  <c r="Z57" i="1"/>
  <c r="Z14" i="1"/>
  <c r="Z33" i="1"/>
  <c r="Z9" i="1"/>
  <c r="Z46" i="1"/>
  <c r="Z36" i="1"/>
  <c r="Z4" i="1"/>
  <c r="Z38" i="1"/>
  <c r="Z35" i="1"/>
  <c r="Z20" i="1"/>
  <c r="Z41" i="1"/>
  <c r="Z16" i="1"/>
  <c r="Z43" i="1"/>
  <c r="Z31" i="1"/>
  <c r="Z45" i="1"/>
  <c r="Z5" i="1"/>
  <c r="Z52" i="1"/>
  <c r="Z48" i="1"/>
  <c r="Z12" i="1"/>
  <c r="Z34" i="1"/>
  <c r="Z51" i="1"/>
  <c r="Z49" i="1"/>
  <c r="Z53" i="1"/>
  <c r="Z42" i="1"/>
  <c r="Z55" i="1"/>
  <c r="Z58" i="1"/>
  <c r="Z61" i="1"/>
  <c r="Z44" i="1"/>
  <c r="Z59" i="1"/>
  <c r="Z25" i="1"/>
  <c r="Z32" i="1"/>
  <c r="Z62" i="1"/>
  <c r="Z63" i="1"/>
  <c r="Z64" i="1"/>
  <c r="Z65" i="1"/>
  <c r="Z66" i="1"/>
  <c r="Z67" i="1"/>
  <c r="Z68" i="1"/>
  <c r="Z70" i="1"/>
  <c r="Z37" i="1"/>
  <c r="Z71" i="1"/>
  <c r="Z72" i="1"/>
  <c r="Z73" i="1"/>
  <c r="Z29" i="1"/>
  <c r="Z75" i="1"/>
  <c r="Z76" i="1"/>
  <c r="Z77" i="1"/>
  <c r="Y3" i="1"/>
  <c r="Y60" i="1"/>
  <c r="Y56" i="1"/>
  <c r="Y10" i="1"/>
  <c r="Y74" i="1"/>
  <c r="Y7" i="1"/>
  <c r="Y8" i="1"/>
  <c r="Y30" i="1"/>
  <c r="Y24" i="1"/>
  <c r="Y11" i="1"/>
  <c r="Y13" i="1"/>
  <c r="Y54" i="1"/>
  <c r="Y26" i="1"/>
  <c r="Y15" i="1"/>
  <c r="Y2" i="1"/>
  <c r="Y17" i="1"/>
  <c r="Y18" i="1"/>
  <c r="Y19" i="1"/>
  <c r="Y6" i="1"/>
  <c r="Y69" i="1"/>
  <c r="Y22" i="1"/>
  <c r="Y23" i="1"/>
  <c r="Y21" i="1"/>
  <c r="Y47" i="1"/>
  <c r="Y50" i="1"/>
  <c r="Y27" i="1"/>
  <c r="Y28" i="1"/>
  <c r="Y40" i="1"/>
  <c r="Y39" i="1"/>
  <c r="Y57" i="1"/>
  <c r="Y14" i="1"/>
  <c r="Y33" i="1"/>
  <c r="Y9" i="1"/>
  <c r="Y46" i="1"/>
  <c r="Y36" i="1"/>
  <c r="Y4" i="1"/>
  <c r="Y38" i="1"/>
  <c r="Y35" i="1"/>
  <c r="Y20" i="1"/>
  <c r="Y41" i="1"/>
  <c r="Y16" i="1"/>
  <c r="Y43" i="1"/>
  <c r="Y31" i="1"/>
  <c r="Y45" i="1"/>
  <c r="Y5" i="1"/>
  <c r="Y52" i="1"/>
  <c r="Y48" i="1"/>
  <c r="Y12" i="1"/>
  <c r="Y34" i="1"/>
  <c r="Y51" i="1"/>
  <c r="Y49" i="1"/>
  <c r="Y53" i="1"/>
  <c r="Y42" i="1"/>
  <c r="Y55" i="1"/>
  <c r="Y58" i="1"/>
  <c r="Y61" i="1"/>
  <c r="Y44" i="1"/>
  <c r="Y59" i="1"/>
  <c r="Y25" i="1"/>
  <c r="Y32" i="1"/>
  <c r="Y62" i="1"/>
  <c r="Y63" i="1"/>
  <c r="Y64" i="1"/>
  <c r="Y65" i="1"/>
  <c r="Y66" i="1"/>
  <c r="Y67" i="1"/>
  <c r="Y68" i="1"/>
  <c r="Y70" i="1"/>
  <c r="Y37" i="1"/>
  <c r="Y71" i="1"/>
  <c r="Y72" i="1"/>
  <c r="Y73" i="1"/>
  <c r="Y29" i="1"/>
  <c r="Y75" i="1"/>
  <c r="Y76" i="1"/>
  <c r="Y77" i="1"/>
  <c r="X3" i="1"/>
  <c r="X60" i="1"/>
  <c r="X56" i="1"/>
  <c r="X10" i="1"/>
  <c r="X74" i="1"/>
  <c r="X7" i="1"/>
  <c r="X8" i="1"/>
  <c r="X30" i="1"/>
  <c r="X24" i="1"/>
  <c r="X11" i="1"/>
  <c r="X13" i="1"/>
  <c r="X54" i="1"/>
  <c r="X26" i="1"/>
  <c r="X15" i="1"/>
  <c r="X2" i="1"/>
  <c r="X17" i="1"/>
  <c r="X18" i="1"/>
  <c r="X19" i="1"/>
  <c r="X6" i="1"/>
  <c r="X69" i="1"/>
  <c r="X22" i="1"/>
  <c r="X23" i="1"/>
  <c r="X21" i="1"/>
  <c r="X47" i="1"/>
  <c r="X50" i="1"/>
  <c r="X27" i="1"/>
  <c r="X28" i="1"/>
  <c r="X40" i="1"/>
  <c r="X39" i="1"/>
  <c r="X57" i="1"/>
  <c r="X14" i="1"/>
  <c r="X33" i="1"/>
  <c r="X9" i="1"/>
  <c r="X46" i="1"/>
  <c r="X36" i="1"/>
  <c r="X4" i="1"/>
  <c r="X38" i="1"/>
  <c r="X35" i="1"/>
  <c r="X20" i="1"/>
  <c r="X41" i="1"/>
  <c r="X16" i="1"/>
  <c r="X43" i="1"/>
  <c r="X31" i="1"/>
  <c r="X45" i="1"/>
  <c r="X5" i="1"/>
  <c r="X52" i="1"/>
  <c r="X48" i="1"/>
  <c r="X12" i="1"/>
  <c r="X34" i="1"/>
  <c r="X51" i="1"/>
  <c r="X49" i="1"/>
  <c r="X53" i="1"/>
  <c r="X42" i="1"/>
  <c r="X55" i="1"/>
  <c r="X58" i="1"/>
  <c r="X61" i="1"/>
  <c r="X44" i="1"/>
  <c r="X59" i="1"/>
  <c r="X25" i="1"/>
  <c r="X32" i="1"/>
  <c r="X62" i="1"/>
  <c r="X63" i="1"/>
  <c r="X64" i="1"/>
  <c r="X65" i="1"/>
  <c r="X66" i="1"/>
  <c r="X67" i="1"/>
  <c r="X68" i="1"/>
  <c r="X70" i="1"/>
  <c r="X37" i="1"/>
  <c r="X71" i="1"/>
  <c r="X72" i="1"/>
  <c r="X73" i="1"/>
  <c r="X29" i="1"/>
  <c r="X75" i="1"/>
  <c r="X76" i="1"/>
  <c r="X77" i="1"/>
  <c r="W3" i="1"/>
  <c r="W60" i="1"/>
  <c r="W56" i="1"/>
  <c r="W10" i="1"/>
  <c r="W74" i="1"/>
  <c r="W7" i="1"/>
  <c r="W8" i="1"/>
  <c r="W30" i="1"/>
  <c r="W24" i="1"/>
  <c r="W11" i="1"/>
  <c r="W13" i="1"/>
  <c r="W54" i="1"/>
  <c r="W26" i="1"/>
  <c r="W15" i="1"/>
  <c r="W2" i="1"/>
  <c r="W17" i="1"/>
  <c r="W18" i="1"/>
  <c r="W19" i="1"/>
  <c r="W6" i="1"/>
  <c r="W69" i="1"/>
  <c r="W22" i="1"/>
  <c r="W23" i="1"/>
  <c r="W21" i="1"/>
  <c r="W47" i="1"/>
  <c r="W50" i="1"/>
  <c r="W27" i="1"/>
  <c r="W28" i="1"/>
  <c r="W40" i="1"/>
  <c r="W39" i="1"/>
  <c r="W57" i="1"/>
  <c r="W14" i="1"/>
  <c r="W33" i="1"/>
  <c r="W9" i="1"/>
  <c r="W46" i="1"/>
  <c r="W36" i="1"/>
  <c r="W4" i="1"/>
  <c r="W38" i="1"/>
  <c r="W35" i="1"/>
  <c r="W20" i="1"/>
  <c r="W41" i="1"/>
  <c r="W16" i="1"/>
  <c r="W43" i="1"/>
  <c r="W31" i="1"/>
  <c r="W45" i="1"/>
  <c r="W5" i="1"/>
  <c r="W52" i="1"/>
  <c r="W48" i="1"/>
  <c r="W12" i="1"/>
  <c r="W34" i="1"/>
  <c r="W51" i="1"/>
  <c r="W49" i="1"/>
  <c r="W53" i="1"/>
  <c r="W42" i="1"/>
  <c r="W55" i="1"/>
  <c r="W58" i="1"/>
  <c r="W61" i="1"/>
  <c r="W44" i="1"/>
  <c r="W59" i="1"/>
  <c r="W25" i="1"/>
  <c r="W32" i="1"/>
  <c r="W62" i="1"/>
  <c r="W63" i="1"/>
  <c r="W64" i="1"/>
  <c r="W65" i="1"/>
  <c r="W66" i="1"/>
  <c r="W67" i="1"/>
  <c r="W68" i="1"/>
  <c r="W70" i="1"/>
  <c r="W37" i="1"/>
  <c r="W71" i="1"/>
  <c r="W72" i="1"/>
  <c r="W73" i="1"/>
  <c r="W29" i="1"/>
  <c r="W75" i="1"/>
  <c r="W76" i="1"/>
  <c r="W77" i="1"/>
  <c r="V88" i="1"/>
  <c r="V86" i="1"/>
  <c r="V84" i="1"/>
  <c r="U3" i="1"/>
  <c r="U60" i="1"/>
  <c r="U56" i="1"/>
  <c r="U10" i="1"/>
  <c r="U74" i="1"/>
  <c r="U7" i="1"/>
  <c r="U8" i="1"/>
  <c r="U30" i="1"/>
  <c r="U24" i="1"/>
  <c r="U11" i="1"/>
  <c r="U13" i="1"/>
  <c r="U54" i="1"/>
  <c r="U26" i="1"/>
  <c r="U15" i="1"/>
  <c r="U2" i="1"/>
  <c r="U17" i="1"/>
  <c r="U18" i="1"/>
  <c r="U19" i="1"/>
  <c r="U6" i="1"/>
  <c r="U69" i="1"/>
  <c r="U22" i="1"/>
  <c r="U23" i="1"/>
  <c r="U21" i="1"/>
  <c r="U47" i="1"/>
  <c r="U50" i="1"/>
  <c r="U27" i="1"/>
  <c r="U28" i="1"/>
  <c r="U40" i="1"/>
  <c r="U39" i="1"/>
  <c r="U57" i="1"/>
  <c r="U14" i="1"/>
  <c r="U33" i="1"/>
  <c r="U9" i="1"/>
  <c r="U46" i="1"/>
  <c r="U36" i="1"/>
  <c r="U4" i="1"/>
  <c r="U38" i="1"/>
  <c r="U35" i="1"/>
  <c r="U20" i="1"/>
  <c r="U41" i="1"/>
  <c r="U16" i="1"/>
  <c r="U43" i="1"/>
  <c r="U31" i="1"/>
  <c r="U45" i="1"/>
  <c r="U5" i="1"/>
  <c r="U52" i="1"/>
  <c r="U48" i="1"/>
  <c r="U12" i="1"/>
  <c r="U34" i="1"/>
  <c r="U51" i="1"/>
  <c r="U49" i="1"/>
  <c r="U53" i="1"/>
  <c r="U42" i="1"/>
  <c r="U55" i="1"/>
  <c r="U58" i="1"/>
  <c r="U61" i="1"/>
  <c r="U44" i="1"/>
  <c r="U59" i="1"/>
  <c r="U25" i="1"/>
  <c r="U32" i="1"/>
  <c r="U62" i="1"/>
  <c r="U63" i="1"/>
  <c r="U64" i="1"/>
  <c r="U65" i="1"/>
  <c r="U66" i="1"/>
  <c r="U67" i="1"/>
  <c r="U68" i="1"/>
  <c r="U70" i="1"/>
  <c r="U37" i="1"/>
  <c r="U71" i="1"/>
  <c r="U72" i="1"/>
  <c r="U73" i="1"/>
  <c r="U29" i="1"/>
  <c r="U75" i="1"/>
  <c r="U76" i="1"/>
  <c r="U77" i="1"/>
  <c r="T3" i="1"/>
  <c r="T60" i="1"/>
  <c r="T56" i="1"/>
  <c r="T10" i="1"/>
  <c r="T74" i="1"/>
  <c r="T7" i="1"/>
  <c r="T8" i="1"/>
  <c r="T30" i="1"/>
  <c r="T24" i="1"/>
  <c r="T11" i="1"/>
  <c r="T13" i="1"/>
  <c r="T54" i="1"/>
  <c r="T26" i="1"/>
  <c r="T15" i="1"/>
  <c r="T2" i="1"/>
  <c r="T17" i="1"/>
  <c r="T18" i="1"/>
  <c r="T19" i="1"/>
  <c r="T6" i="1"/>
  <c r="T69" i="1"/>
  <c r="T22" i="1"/>
  <c r="T23" i="1"/>
  <c r="T21" i="1"/>
  <c r="T47" i="1"/>
  <c r="T50" i="1"/>
  <c r="T27" i="1"/>
  <c r="T28" i="1"/>
  <c r="T40" i="1"/>
  <c r="T39" i="1"/>
  <c r="T57" i="1"/>
  <c r="T14" i="1"/>
  <c r="T33" i="1"/>
  <c r="T9" i="1"/>
  <c r="T46" i="1"/>
  <c r="T36" i="1"/>
  <c r="T4" i="1"/>
  <c r="T38" i="1"/>
  <c r="T35" i="1"/>
  <c r="T20" i="1"/>
  <c r="T41" i="1"/>
  <c r="T16" i="1"/>
  <c r="T43" i="1"/>
  <c r="T31" i="1"/>
  <c r="T45" i="1"/>
  <c r="T5" i="1"/>
  <c r="T52" i="1"/>
  <c r="T48" i="1"/>
  <c r="T12" i="1"/>
  <c r="T34" i="1"/>
  <c r="T51" i="1"/>
  <c r="T49" i="1"/>
  <c r="T53" i="1"/>
  <c r="T42" i="1"/>
  <c r="T55" i="1"/>
  <c r="T58" i="1"/>
  <c r="T61" i="1"/>
  <c r="T44" i="1"/>
  <c r="T59" i="1"/>
  <c r="T25" i="1"/>
  <c r="T32" i="1"/>
  <c r="T62" i="1"/>
  <c r="T63" i="1"/>
  <c r="T64" i="1"/>
  <c r="T65" i="1"/>
  <c r="T66" i="1"/>
  <c r="T67" i="1"/>
  <c r="T68" i="1"/>
  <c r="T70" i="1"/>
  <c r="T37" i="1"/>
  <c r="T71" i="1"/>
  <c r="T72" i="1"/>
  <c r="T73" i="1"/>
  <c r="T29" i="1"/>
  <c r="T75" i="1"/>
  <c r="T76" i="1"/>
  <c r="T77" i="1"/>
  <c r="R3" i="1"/>
  <c r="R60" i="1"/>
  <c r="R56" i="1"/>
  <c r="R10" i="1"/>
  <c r="R74" i="1"/>
  <c r="R7" i="1"/>
  <c r="R8" i="1"/>
  <c r="R30" i="1"/>
  <c r="R24" i="1"/>
  <c r="R11" i="1"/>
  <c r="R13" i="1"/>
  <c r="R54" i="1"/>
  <c r="R26" i="1"/>
  <c r="R15" i="1"/>
  <c r="R2" i="1"/>
  <c r="R17" i="1"/>
  <c r="R18" i="1"/>
  <c r="R19" i="1"/>
  <c r="R6" i="1"/>
  <c r="R69" i="1"/>
  <c r="R22" i="1"/>
  <c r="R23" i="1"/>
  <c r="R21" i="1"/>
  <c r="R47" i="1"/>
  <c r="R50" i="1"/>
  <c r="R27" i="1"/>
  <c r="R28" i="1"/>
  <c r="R40" i="1"/>
  <c r="R39" i="1"/>
  <c r="R57" i="1"/>
  <c r="R14" i="1"/>
  <c r="R33" i="1"/>
  <c r="R9" i="1"/>
  <c r="R46" i="1"/>
  <c r="R36" i="1"/>
  <c r="R4" i="1"/>
  <c r="R38" i="1"/>
  <c r="R35" i="1"/>
  <c r="R20" i="1"/>
  <c r="R41" i="1"/>
  <c r="R16" i="1"/>
  <c r="R43" i="1"/>
  <c r="R31" i="1"/>
  <c r="R45" i="1"/>
  <c r="R5" i="1"/>
  <c r="R52" i="1"/>
  <c r="R48" i="1"/>
  <c r="R12" i="1"/>
  <c r="R34" i="1"/>
  <c r="R51" i="1"/>
  <c r="R49" i="1"/>
  <c r="R53" i="1"/>
  <c r="R42" i="1"/>
  <c r="R55" i="1"/>
  <c r="R58" i="1"/>
  <c r="R61" i="1"/>
  <c r="R44" i="1"/>
  <c r="R59" i="1"/>
  <c r="R25" i="1"/>
  <c r="R32" i="1"/>
  <c r="R62" i="1"/>
  <c r="R63" i="1"/>
  <c r="R64" i="1"/>
  <c r="R65" i="1"/>
  <c r="R66" i="1"/>
  <c r="R67" i="1"/>
  <c r="R68" i="1"/>
  <c r="R70" i="1"/>
  <c r="R37" i="1"/>
  <c r="R71" i="1"/>
  <c r="R72" i="1"/>
  <c r="R73" i="1"/>
  <c r="R29" i="1"/>
  <c r="R75" i="1"/>
  <c r="R76" i="1"/>
  <c r="R77" i="1"/>
  <c r="I82" i="1"/>
  <c r="Q3" i="1"/>
  <c r="Q60" i="1"/>
  <c r="Q56" i="1"/>
  <c r="Q10" i="1"/>
  <c r="Q74" i="1"/>
  <c r="Q7" i="1"/>
  <c r="Q8" i="1"/>
  <c r="Q30" i="1"/>
  <c r="Q24" i="1"/>
  <c r="Q11" i="1"/>
  <c r="Q13" i="1"/>
  <c r="Q54" i="1"/>
  <c r="Q26" i="1"/>
  <c r="Q15" i="1"/>
  <c r="Q2" i="1"/>
  <c r="Q17" i="1"/>
  <c r="Q18" i="1"/>
  <c r="Q19" i="1"/>
  <c r="Q6" i="1"/>
  <c r="Q69" i="1"/>
  <c r="Q22" i="1"/>
  <c r="Q23" i="1"/>
  <c r="Q21" i="1"/>
  <c r="Q47" i="1"/>
  <c r="Q50" i="1"/>
  <c r="Q27" i="1"/>
  <c r="Q28" i="1"/>
  <c r="Q40" i="1"/>
  <c r="Q39" i="1"/>
  <c r="Q57" i="1"/>
  <c r="Q14" i="1"/>
  <c r="Q33" i="1"/>
  <c r="Q9" i="1"/>
  <c r="Q46" i="1"/>
  <c r="Q36" i="1"/>
  <c r="Q4" i="1"/>
  <c r="Q38" i="1"/>
  <c r="Q35" i="1"/>
  <c r="Q20" i="1"/>
  <c r="Q41" i="1"/>
  <c r="Q16" i="1"/>
  <c r="Q43" i="1"/>
  <c r="Q31" i="1"/>
  <c r="Q45" i="1"/>
  <c r="Q5" i="1"/>
  <c r="Q52" i="1"/>
  <c r="Q48" i="1"/>
  <c r="Q12" i="1"/>
  <c r="Q34" i="1"/>
  <c r="Q51" i="1"/>
  <c r="Q49" i="1"/>
  <c r="Q53" i="1"/>
  <c r="Q42" i="1"/>
  <c r="Q55" i="1"/>
  <c r="Q58" i="1"/>
  <c r="Q61" i="1"/>
  <c r="Q44" i="1"/>
  <c r="Q59" i="1"/>
  <c r="Q25" i="1"/>
  <c r="Q32" i="1"/>
  <c r="Q62" i="1"/>
  <c r="Q63" i="1"/>
  <c r="Q64" i="1"/>
  <c r="Q65" i="1"/>
  <c r="Q66" i="1"/>
  <c r="Q67" i="1"/>
  <c r="Q68" i="1"/>
  <c r="Q70" i="1"/>
  <c r="Q37" i="1"/>
  <c r="Q71" i="1"/>
  <c r="Q72" i="1"/>
  <c r="Q73" i="1"/>
  <c r="Q29" i="1"/>
  <c r="Q75" i="1"/>
  <c r="Q76" i="1"/>
  <c r="Q77" i="1"/>
  <c r="N3" i="1"/>
  <c r="O3" i="1" s="1"/>
  <c r="P3" i="1" s="1"/>
  <c r="N60" i="1"/>
  <c r="O60" i="1" s="1"/>
  <c r="P60" i="1" s="1"/>
  <c r="N56" i="1"/>
  <c r="O56" i="1" s="1"/>
  <c r="P56" i="1" s="1"/>
  <c r="N10" i="1"/>
  <c r="O10" i="1" s="1"/>
  <c r="P10" i="1" s="1"/>
  <c r="N74" i="1"/>
  <c r="O74" i="1" s="1"/>
  <c r="P74" i="1" s="1"/>
  <c r="N7" i="1"/>
  <c r="O7" i="1" s="1"/>
  <c r="P7" i="1" s="1"/>
  <c r="N8" i="1"/>
  <c r="O8" i="1" s="1"/>
  <c r="P8" i="1" s="1"/>
  <c r="N30" i="1"/>
  <c r="O30" i="1" s="1"/>
  <c r="P30" i="1" s="1"/>
  <c r="N24" i="1"/>
  <c r="O24" i="1" s="1"/>
  <c r="P24" i="1" s="1"/>
  <c r="N11" i="1"/>
  <c r="O11" i="1" s="1"/>
  <c r="P11" i="1" s="1"/>
  <c r="N13" i="1"/>
  <c r="O13" i="1" s="1"/>
  <c r="P13" i="1" s="1"/>
  <c r="N54" i="1"/>
  <c r="O54" i="1" s="1"/>
  <c r="P54" i="1" s="1"/>
  <c r="N26" i="1"/>
  <c r="O26" i="1" s="1"/>
  <c r="P26" i="1" s="1"/>
  <c r="N15" i="1"/>
  <c r="O15" i="1" s="1"/>
  <c r="P15" i="1" s="1"/>
  <c r="N2" i="1"/>
  <c r="O2" i="1" s="1"/>
  <c r="P2" i="1" s="1"/>
  <c r="N17" i="1"/>
  <c r="O17" i="1" s="1"/>
  <c r="P17" i="1" s="1"/>
  <c r="N18" i="1"/>
  <c r="O18" i="1" s="1"/>
  <c r="P18" i="1" s="1"/>
  <c r="N19" i="1"/>
  <c r="O19" i="1" s="1"/>
  <c r="P19" i="1" s="1"/>
  <c r="N6" i="1"/>
  <c r="O6" i="1" s="1"/>
  <c r="P6" i="1" s="1"/>
  <c r="N69" i="1"/>
  <c r="N22" i="1"/>
  <c r="O22" i="1" s="1"/>
  <c r="P22" i="1" s="1"/>
  <c r="N23" i="1"/>
  <c r="O23" i="1" s="1"/>
  <c r="P23" i="1" s="1"/>
  <c r="N21" i="1"/>
  <c r="O21" i="1" s="1"/>
  <c r="P21" i="1" s="1"/>
  <c r="N47" i="1"/>
  <c r="O47" i="1" s="1"/>
  <c r="P47" i="1" s="1"/>
  <c r="N50" i="1"/>
  <c r="O50" i="1" s="1"/>
  <c r="P50" i="1" s="1"/>
  <c r="N27" i="1"/>
  <c r="O27" i="1" s="1"/>
  <c r="P27" i="1" s="1"/>
  <c r="N28" i="1"/>
  <c r="O28" i="1" s="1"/>
  <c r="P28" i="1" s="1"/>
  <c r="N40" i="1"/>
  <c r="O40" i="1" s="1"/>
  <c r="P40" i="1" s="1"/>
  <c r="N39" i="1"/>
  <c r="O39" i="1" s="1"/>
  <c r="P39" i="1" s="1"/>
  <c r="N57" i="1"/>
  <c r="O57" i="1" s="1"/>
  <c r="P57" i="1" s="1"/>
  <c r="N14" i="1"/>
  <c r="O14" i="1" s="1"/>
  <c r="P14" i="1" s="1"/>
  <c r="N33" i="1"/>
  <c r="O33" i="1" s="1"/>
  <c r="P33" i="1" s="1"/>
  <c r="N9" i="1"/>
  <c r="O9" i="1" s="1"/>
  <c r="P9" i="1" s="1"/>
  <c r="N46" i="1"/>
  <c r="O46" i="1" s="1"/>
  <c r="P46" i="1" s="1"/>
  <c r="N36" i="1"/>
  <c r="O36" i="1" s="1"/>
  <c r="P36" i="1" s="1"/>
  <c r="N4" i="1"/>
  <c r="O4" i="1" s="1"/>
  <c r="P4" i="1" s="1"/>
  <c r="N38" i="1"/>
  <c r="O38" i="1" s="1"/>
  <c r="P38" i="1" s="1"/>
  <c r="N35" i="1"/>
  <c r="O35" i="1" s="1"/>
  <c r="P35" i="1" s="1"/>
  <c r="N20" i="1"/>
  <c r="O20" i="1" s="1"/>
  <c r="P20" i="1" s="1"/>
  <c r="N41" i="1"/>
  <c r="O41" i="1" s="1"/>
  <c r="P41" i="1" s="1"/>
  <c r="N16" i="1"/>
  <c r="O16" i="1" s="1"/>
  <c r="P16" i="1" s="1"/>
  <c r="N43" i="1"/>
  <c r="O43" i="1" s="1"/>
  <c r="P43" i="1" s="1"/>
  <c r="N31" i="1"/>
  <c r="O31" i="1" s="1"/>
  <c r="P31" i="1" s="1"/>
  <c r="N45" i="1"/>
  <c r="O45" i="1" s="1"/>
  <c r="P45" i="1" s="1"/>
  <c r="N5" i="1"/>
  <c r="O5" i="1" s="1"/>
  <c r="P5" i="1" s="1"/>
  <c r="N52" i="1"/>
  <c r="O52" i="1" s="1"/>
  <c r="P52" i="1" s="1"/>
  <c r="N48" i="1"/>
  <c r="O48" i="1" s="1"/>
  <c r="P48" i="1" s="1"/>
  <c r="N12" i="1"/>
  <c r="O12" i="1" s="1"/>
  <c r="P12" i="1" s="1"/>
  <c r="N34" i="1"/>
  <c r="O34" i="1" s="1"/>
  <c r="P34" i="1" s="1"/>
  <c r="N51" i="1"/>
  <c r="O51" i="1" s="1"/>
  <c r="P51" i="1" s="1"/>
  <c r="N49" i="1"/>
  <c r="O49" i="1" s="1"/>
  <c r="P49" i="1" s="1"/>
  <c r="N53" i="1"/>
  <c r="O53" i="1" s="1"/>
  <c r="P53" i="1" s="1"/>
  <c r="N42" i="1"/>
  <c r="O42" i="1" s="1"/>
  <c r="P42" i="1" s="1"/>
  <c r="N55" i="1"/>
  <c r="O55" i="1" s="1"/>
  <c r="P55" i="1" s="1"/>
  <c r="N58" i="1"/>
  <c r="O58" i="1" s="1"/>
  <c r="P58" i="1" s="1"/>
  <c r="N61" i="1"/>
  <c r="O61" i="1" s="1"/>
  <c r="P61" i="1" s="1"/>
  <c r="N44" i="1"/>
  <c r="O44" i="1" s="1"/>
  <c r="P44" i="1" s="1"/>
  <c r="N59" i="1"/>
  <c r="N25" i="1"/>
  <c r="O25" i="1" s="1"/>
  <c r="N32" i="1"/>
  <c r="O32" i="1" s="1"/>
  <c r="N62" i="1"/>
  <c r="O62" i="1" s="1"/>
  <c r="N63" i="1"/>
  <c r="O63" i="1" s="1"/>
  <c r="N64" i="1"/>
  <c r="O64" i="1" s="1"/>
  <c r="N65" i="1"/>
  <c r="O65" i="1" s="1"/>
  <c r="N66" i="1"/>
  <c r="O66" i="1" s="1"/>
  <c r="N67" i="1"/>
  <c r="O67" i="1" s="1"/>
  <c r="N68" i="1"/>
  <c r="O68" i="1" s="1"/>
  <c r="N70" i="1"/>
  <c r="O70" i="1" s="1"/>
  <c r="N37" i="1"/>
  <c r="N71" i="1"/>
  <c r="N72" i="1"/>
  <c r="N73" i="1"/>
  <c r="N29" i="1"/>
  <c r="N75" i="1"/>
  <c r="N76" i="1"/>
  <c r="N77" i="1"/>
  <c r="S41" i="1" l="1"/>
  <c r="V41" i="1"/>
  <c r="S16" i="1"/>
  <c r="V16" i="1"/>
  <c r="S43" i="1"/>
  <c r="V43" i="1"/>
  <c r="S31" i="1"/>
  <c r="V31" i="1"/>
  <c r="S3" i="1"/>
  <c r="V3" i="1"/>
  <c r="S60" i="1"/>
  <c r="V60" i="1"/>
  <c r="S56" i="1"/>
  <c r="V56" i="1"/>
  <c r="S10" i="1"/>
  <c r="V10" i="1"/>
  <c r="S74" i="1"/>
  <c r="V74" i="1"/>
  <c r="S7" i="1"/>
  <c r="V7" i="1"/>
  <c r="S8" i="1"/>
  <c r="V8" i="1"/>
  <c r="S30" i="1"/>
  <c r="V30" i="1"/>
  <c r="S24" i="1"/>
  <c r="V24" i="1"/>
  <c r="S11" i="1"/>
  <c r="V11" i="1"/>
  <c r="S13" i="1"/>
  <c r="V13" i="1"/>
  <c r="S54" i="1"/>
  <c r="V54" i="1"/>
  <c r="S26" i="1"/>
  <c r="V26" i="1"/>
  <c r="S15" i="1"/>
  <c r="V15" i="1"/>
  <c r="S2" i="1"/>
  <c r="V2" i="1"/>
  <c r="S17" i="1"/>
  <c r="V17" i="1"/>
  <c r="S18" i="1"/>
  <c r="V18" i="1"/>
  <c r="S19" i="1"/>
  <c r="V19" i="1"/>
  <c r="S6" i="1"/>
  <c r="V6" i="1"/>
  <c r="S22" i="1"/>
  <c r="V22" i="1"/>
  <c r="S23" i="1"/>
  <c r="V23" i="1"/>
  <c r="S21" i="1"/>
  <c r="V21" i="1"/>
  <c r="S47" i="1"/>
  <c r="V47" i="1"/>
  <c r="S50" i="1"/>
  <c r="V50" i="1"/>
  <c r="S27" i="1"/>
  <c r="V27" i="1"/>
  <c r="S28" i="1"/>
  <c r="V28" i="1"/>
  <c r="S40" i="1"/>
  <c r="V40" i="1"/>
  <c r="S39" i="1"/>
  <c r="V39" i="1"/>
  <c r="S57" i="1"/>
  <c r="V57" i="1"/>
  <c r="S14" i="1"/>
  <c r="V14" i="1"/>
  <c r="S33" i="1"/>
  <c r="V33" i="1"/>
  <c r="S9" i="1"/>
  <c r="V9" i="1"/>
  <c r="S46" i="1"/>
  <c r="V46" i="1"/>
  <c r="S36" i="1"/>
  <c r="V36" i="1"/>
  <c r="S4" i="1"/>
  <c r="V4" i="1"/>
  <c r="S38" i="1"/>
  <c r="V38" i="1"/>
  <c r="S35" i="1"/>
  <c r="V35" i="1"/>
  <c r="S20" i="1"/>
  <c r="V20" i="1"/>
  <c r="S45" i="1"/>
  <c r="V45" i="1"/>
  <c r="S5" i="1"/>
  <c r="V5" i="1"/>
  <c r="S52" i="1"/>
  <c r="V52" i="1"/>
  <c r="S48" i="1"/>
  <c r="V48" i="1"/>
  <c r="S12" i="1"/>
  <c r="V12" i="1"/>
  <c r="S34" i="1"/>
  <c r="V34" i="1"/>
  <c r="S51" i="1"/>
  <c r="V51" i="1"/>
  <c r="S49" i="1"/>
  <c r="V49" i="1"/>
  <c r="S53" i="1"/>
  <c r="V53" i="1"/>
  <c r="S42" i="1"/>
  <c r="V42" i="1"/>
  <c r="V55" i="1"/>
  <c r="S55" i="1"/>
  <c r="V58" i="1"/>
  <c r="S58" i="1"/>
  <c r="V61" i="1"/>
  <c r="S61" i="1"/>
  <c r="V44" i="1"/>
  <c r="S44" i="1"/>
  <c r="O69" i="1"/>
  <c r="P69" i="1" s="1"/>
  <c r="P32" i="1"/>
  <c r="P65" i="1"/>
  <c r="P68" i="1"/>
  <c r="P25" i="1"/>
  <c r="P62" i="1"/>
  <c r="P63" i="1"/>
  <c r="P64" i="1"/>
  <c r="P66" i="1"/>
  <c r="P67" i="1"/>
  <c r="P70" i="1"/>
  <c r="O59" i="1"/>
  <c r="P59" i="1" s="1"/>
  <c r="O37" i="1"/>
  <c r="P37" i="1" s="1"/>
  <c r="O71" i="1"/>
  <c r="P71" i="1" s="1"/>
  <c r="O72" i="1"/>
  <c r="P72" i="1" s="1"/>
  <c r="O73" i="1"/>
  <c r="P73" i="1" s="1"/>
  <c r="O29" i="1"/>
  <c r="P29" i="1" s="1"/>
  <c r="O75" i="1"/>
  <c r="P75" i="1" s="1"/>
  <c r="O76" i="1"/>
  <c r="P76" i="1" s="1"/>
  <c r="O77" i="1"/>
  <c r="P77" i="1" s="1"/>
  <c r="V80" i="1" l="1"/>
  <c r="V82" i="1"/>
  <c r="S69" i="1"/>
  <c r="V69" i="1"/>
  <c r="S32" i="1"/>
  <c r="V32" i="1"/>
  <c r="S65" i="1"/>
  <c r="V65" i="1"/>
  <c r="S68" i="1"/>
  <c r="V68" i="1"/>
  <c r="S25" i="1"/>
  <c r="V25" i="1"/>
  <c r="S62" i="1"/>
  <c r="V62" i="1"/>
  <c r="S63" i="1"/>
  <c r="V63" i="1"/>
  <c r="S64" i="1"/>
  <c r="V64" i="1"/>
  <c r="S66" i="1"/>
  <c r="V66" i="1"/>
  <c r="S67" i="1"/>
  <c r="V67" i="1"/>
  <c r="S70" i="1"/>
  <c r="V70" i="1"/>
  <c r="S59" i="1"/>
  <c r="V59" i="1"/>
  <c r="S37" i="1"/>
  <c r="V37" i="1"/>
  <c r="S71" i="1"/>
  <c r="V71" i="1"/>
  <c r="S72" i="1"/>
  <c r="V72" i="1"/>
  <c r="S73" i="1"/>
  <c r="V73" i="1"/>
  <c r="S29" i="1"/>
  <c r="V29" i="1"/>
  <c r="S75" i="1"/>
  <c r="V75" i="1"/>
  <c r="S76" i="1"/>
  <c r="V76" i="1"/>
  <c r="S77" i="1"/>
  <c r="V77" i="1"/>
  <c r="I8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F818B4-7021-4D3A-B9ED-86851145C7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0E16B14-024D-424C-B758-02D82F821BCD}" name="WorksheetConnection_Assignment2.xlsx!Table1" type="102" refreshedVersion="8" minRefreshableVersion="5">
    <extLst>
      <ext xmlns:x15="http://schemas.microsoft.com/office/spreadsheetml/2010/11/main" uri="{DE250136-89BD-433C-8126-D09CA5730AF9}">
        <x15:connection id="Table1" autoDelete="1">
          <x15:rangePr sourceName="_xlcn.WorksheetConnection_Assignment2.xlsxTable1"/>
        </x15:connection>
      </ext>
    </extLst>
  </connection>
</connections>
</file>

<file path=xl/sharedStrings.xml><?xml version="1.0" encoding="utf-8"?>
<sst xmlns="http://schemas.openxmlformats.org/spreadsheetml/2006/main" count="1502" uniqueCount="322">
  <si>
    <t>TXN1001</t>
  </si>
  <si>
    <t>North</t>
  </si>
  <si>
    <t>Retail</t>
  </si>
  <si>
    <t>Asha Stores</t>
  </si>
  <si>
    <t>Electronics</t>
  </si>
  <si>
    <t>Laptop</t>
  </si>
  <si>
    <t>UPI</t>
  </si>
  <si>
    <t>Completed</t>
  </si>
  <si>
    <t>EMP01</t>
  </si>
  <si>
    <t>TXN1002</t>
  </si>
  <si>
    <t>South</t>
  </si>
  <si>
    <t>Online</t>
  </si>
  <si>
    <t>Bright Mart</t>
  </si>
  <si>
    <t>Home</t>
  </si>
  <si>
    <t>Mixer Grinder</t>
  </si>
  <si>
    <t>Card</t>
  </si>
  <si>
    <t>EMP03</t>
  </si>
  <si>
    <t>TXN1003</t>
  </si>
  <si>
    <t>West</t>
  </si>
  <si>
    <t>City Bazaar</t>
  </si>
  <si>
    <t>Grocery</t>
  </si>
  <si>
    <t>Rice Bag</t>
  </si>
  <si>
    <t>Cash</t>
  </si>
  <si>
    <t>EMP02</t>
  </si>
  <si>
    <t>TXN1004</t>
  </si>
  <si>
    <t>East</t>
  </si>
  <si>
    <t>Wholesale</t>
  </si>
  <si>
    <t>Delta Traders</t>
  </si>
  <si>
    <t>Office</t>
  </si>
  <si>
    <t>Printer</t>
  </si>
  <si>
    <t>Bank Transfer</t>
  </si>
  <si>
    <t>EMP04</t>
  </si>
  <si>
    <t>TXN1005</t>
  </si>
  <si>
    <t>Evergreen Shop</t>
  </si>
  <si>
    <t>Fashion</t>
  </si>
  <si>
    <t>Jacket</t>
  </si>
  <si>
    <t>TXN1006</t>
  </si>
  <si>
    <t>Fresh Basket</t>
  </si>
  <si>
    <t>Cooking Oil</t>
  </si>
  <si>
    <t>EMP05</t>
  </si>
  <si>
    <t>TXN1007</t>
  </si>
  <si>
    <t>Global Needs</t>
  </si>
  <si>
    <t>Headphones</t>
  </si>
  <si>
    <t>Pending</t>
  </si>
  <si>
    <t>TXN1008</t>
  </si>
  <si>
    <t>Harbor Supplies</t>
  </si>
  <si>
    <t>Office Chair</t>
  </si>
  <si>
    <t>TXN1009</t>
  </si>
  <si>
    <t>Indigo Retailers</t>
  </si>
  <si>
    <t>Water Purifier</t>
  </si>
  <si>
    <t>TXN1010</t>
  </si>
  <si>
    <t>Jasmine Market</t>
  </si>
  <si>
    <t>Shoes</t>
  </si>
  <si>
    <t>Refunded</t>
  </si>
  <si>
    <t>TXN1011</t>
  </si>
  <si>
    <t>Kingfisher Store</t>
  </si>
  <si>
    <t>Monitor</t>
  </si>
  <si>
    <t>TXN1012</t>
  </si>
  <si>
    <t>Lotus Distributors</t>
  </si>
  <si>
    <t>Wheat Flour</t>
  </si>
  <si>
    <t>TXN1013</t>
  </si>
  <si>
    <t>Metro Shop</t>
  </si>
  <si>
    <t>Air Fryer</t>
  </si>
  <si>
    <t>TXN1014</t>
  </si>
  <si>
    <t>Nova Stores</t>
  </si>
  <si>
    <t>Notebook Pack</t>
  </si>
  <si>
    <t>TXN1015</t>
  </si>
  <si>
    <t>Ocean Traders</t>
  </si>
  <si>
    <t>Smartphone</t>
  </si>
  <si>
    <t>TXN1016</t>
  </si>
  <si>
    <t>Prime Retail</t>
  </si>
  <si>
    <t>Backpack</t>
  </si>
  <si>
    <t>TXN1017</t>
  </si>
  <si>
    <t>Quick Buy</t>
  </si>
  <si>
    <t>Tea Pack</t>
  </si>
  <si>
    <t>TXN1018</t>
  </si>
  <si>
    <t>Royal Mart</t>
  </si>
  <si>
    <t>Microwave</t>
  </si>
  <si>
    <t>TXN1019</t>
  </si>
  <si>
    <t>Sunrise Shop</t>
  </si>
  <si>
    <t>Tablet</t>
  </si>
  <si>
    <t>TXN1020</t>
  </si>
  <si>
    <t>Trinity Store</t>
  </si>
  <si>
    <t>T-Shirt</t>
  </si>
  <si>
    <t>TXN1021</t>
  </si>
  <si>
    <t>Unity Traders</t>
  </si>
  <si>
    <t>Desk</t>
  </si>
  <si>
    <t>TXN1022</t>
  </si>
  <si>
    <t>Value Hub</t>
  </si>
  <si>
    <t>Coffee Pack</t>
  </si>
  <si>
    <t>TXN1023</t>
  </si>
  <si>
    <t>Willow Mart</t>
  </si>
  <si>
    <t>Vacuum Cleaner</t>
  </si>
  <si>
    <t>TXN1024</t>
  </si>
  <si>
    <t>Xpress Distributors</t>
  </si>
  <si>
    <t>Keyboard</t>
  </si>
  <si>
    <t>TXN1025</t>
  </si>
  <si>
    <t>Yellow Basket</t>
  </si>
  <si>
    <t>Jeans</t>
  </si>
  <si>
    <t>TXN1026</t>
  </si>
  <si>
    <t>Zenith Shop</t>
  </si>
  <si>
    <t>Calculator</t>
  </si>
  <si>
    <t>TXN1027</t>
  </si>
  <si>
    <t>Apex Traders</t>
  </si>
  <si>
    <t>Sugar Bag</t>
  </si>
  <si>
    <t>Cancelled</t>
  </si>
  <si>
    <t>TXN1028</t>
  </si>
  <si>
    <t>Bluebird Store</t>
  </si>
  <si>
    <t>Ceiling Fan</t>
  </si>
  <si>
    <t>TXN1029</t>
  </si>
  <si>
    <t>Coral Market</t>
  </si>
  <si>
    <t>Power Bank</t>
  </si>
  <si>
    <t>TXN1030</t>
  </si>
  <si>
    <t>Dawn Distributors</t>
  </si>
  <si>
    <t>Handbag</t>
  </si>
  <si>
    <t>TXN1031</t>
  </si>
  <si>
    <t>Elm Retail</t>
  </si>
  <si>
    <t>Smartwatch</t>
  </si>
  <si>
    <t>TXN1032</t>
  </si>
  <si>
    <t>Fern Stores</t>
  </si>
  <si>
    <t>Milk Powder</t>
  </si>
  <si>
    <t>TXN1033</t>
  </si>
  <si>
    <t>Grove Traders</t>
  </si>
  <si>
    <t>Refrigerator</t>
  </si>
  <si>
    <t>TXN1034</t>
  </si>
  <si>
    <t>Hilltop Shop</t>
  </si>
  <si>
    <t>Paper Box</t>
  </si>
  <si>
    <t>TXN1035</t>
  </si>
  <si>
    <t>Ivory Market</t>
  </si>
  <si>
    <t>Sneakers</t>
  </si>
  <si>
    <t>TXN1036</t>
  </si>
  <si>
    <t>Juniper Distributors</t>
  </si>
  <si>
    <t>Projector</t>
  </si>
  <si>
    <t>TXN1037</t>
  </si>
  <si>
    <t>Kite Store</t>
  </si>
  <si>
    <t>Dry Fruits</t>
  </si>
  <si>
    <t>TXN1038</t>
  </si>
  <si>
    <t>Lime Bazaar</t>
  </si>
  <si>
    <t>Blender</t>
  </si>
  <si>
    <t>TXN1039</t>
  </si>
  <si>
    <t>Maple Traders</t>
  </si>
  <si>
    <t>Filing Cabinet</t>
  </si>
  <si>
    <t>TXN1040</t>
  </si>
  <si>
    <t>Noble Retail</t>
  </si>
  <si>
    <t>Watch</t>
  </si>
  <si>
    <t>TXN1041</t>
  </si>
  <si>
    <t>Olive Shop</t>
  </si>
  <si>
    <t>SSD Drive</t>
  </si>
  <si>
    <t>TXN1042</t>
  </si>
  <si>
    <t>Pioneer Distributors</t>
  </si>
  <si>
    <t>Spice Box</t>
  </si>
  <si>
    <t>TXN1043</t>
  </si>
  <si>
    <t>Quartz Mart</t>
  </si>
  <si>
    <t>Water Heater</t>
  </si>
  <si>
    <t>TXN1044</t>
  </si>
  <si>
    <t>River Store</t>
  </si>
  <si>
    <t>Stapler Pack</t>
  </si>
  <si>
    <t>TXN1045</t>
  </si>
  <si>
    <t>Silverline Traders</t>
  </si>
  <si>
    <t>Camera</t>
  </si>
  <si>
    <t>TXN1046</t>
  </si>
  <si>
    <t>Topaz Shop</t>
  </si>
  <si>
    <t>Formal Shirt</t>
  </si>
  <si>
    <t>TXN1047</t>
  </si>
  <si>
    <t>Uptown Market</t>
  </si>
  <si>
    <t>Oats Pack</t>
  </si>
  <si>
    <t>TXN1048</t>
  </si>
  <si>
    <t>Vista Traders</t>
  </si>
  <si>
    <t>Washing Machine</t>
  </si>
  <si>
    <t>TXN1049</t>
  </si>
  <si>
    <t>Wave Retail</t>
  </si>
  <si>
    <t>Webcam</t>
  </si>
  <si>
    <t>TXN1050</t>
  </si>
  <si>
    <t>Xenia Stores</t>
  </si>
  <si>
    <t>Pen Box</t>
  </si>
  <si>
    <t>TXN1051</t>
  </si>
  <si>
    <t>Yonder Distributors</t>
  </si>
  <si>
    <t>Travel Bag</t>
  </si>
  <si>
    <t>TXN1052</t>
  </si>
  <si>
    <t>Zest Shop</t>
  </si>
  <si>
    <t>Breakfast Cereal</t>
  </si>
  <si>
    <t>TXN1053</t>
  </si>
  <si>
    <t>Amber Mart</t>
  </si>
  <si>
    <t>Induction Stove</t>
  </si>
  <si>
    <t>TXN1054</t>
  </si>
  <si>
    <t>Beacon Traders</t>
  </si>
  <si>
    <t>Router</t>
  </si>
  <si>
    <t>TXN1055</t>
  </si>
  <si>
    <t>Cedar Store</t>
  </si>
  <si>
    <t>Monitor Stand</t>
  </si>
  <si>
    <t>TXN1056</t>
  </si>
  <si>
    <t>Driftwood Shop</t>
  </si>
  <si>
    <t>Sunglasses</t>
  </si>
  <si>
    <t>TXN1057</t>
  </si>
  <si>
    <t>Ember Distributors</t>
  </si>
  <si>
    <t>Lentils Bag</t>
  </si>
  <si>
    <t>TXN1058</t>
  </si>
  <si>
    <t>Flint Retail</t>
  </si>
  <si>
    <t>Toaster</t>
  </si>
  <si>
    <t>TXN1059</t>
  </si>
  <si>
    <t>Glacier Market</t>
  </si>
  <si>
    <t>Microphone</t>
  </si>
  <si>
    <t>TXN1060</t>
  </si>
  <si>
    <t>Horizon Traders</t>
  </si>
  <si>
    <t>Bookshelf</t>
  </si>
  <si>
    <t>TXN1061</t>
  </si>
  <si>
    <t xml:space="preserve"> north </t>
  </si>
  <si>
    <t>Ivy Retail</t>
  </si>
  <si>
    <t>USB Hub</t>
  </si>
  <si>
    <t>TXN1062</t>
  </si>
  <si>
    <t>Jade Stores</t>
  </si>
  <si>
    <t>Electric Kettle</t>
  </si>
  <si>
    <t>TXN1063</t>
  </si>
  <si>
    <t>Keystone Traders</t>
  </si>
  <si>
    <t>Desk Lamp</t>
  </si>
  <si>
    <t>TXN1065</t>
  </si>
  <si>
    <t>Lumen Shop</t>
  </si>
  <si>
    <t>USB-C Cable</t>
  </si>
  <si>
    <t>TXN1066</t>
  </si>
  <si>
    <t>Mango Market</t>
  </si>
  <si>
    <t>Fruit Box</t>
  </si>
  <si>
    <t>TXN1067</t>
  </si>
  <si>
    <t>Nectar Store</t>
  </si>
  <si>
    <t>Belt</t>
  </si>
  <si>
    <t>TXN1068</t>
  </si>
  <si>
    <t>Orchid Shop</t>
  </si>
  <si>
    <t>Table Lamp</t>
  </si>
  <si>
    <t>TXN1069</t>
  </si>
  <si>
    <t>Pine Traders</t>
  </si>
  <si>
    <t>Whiteboard</t>
  </si>
  <si>
    <t>TXN1070</t>
  </si>
  <si>
    <t>Quartz Retail</t>
  </si>
  <si>
    <t>External Drive</t>
  </si>
  <si>
    <t>TXN1071</t>
  </si>
  <si>
    <t>Rosewood Mart</t>
  </si>
  <si>
    <t>Pasta Pack</t>
  </si>
  <si>
    <t>TXN1072</t>
  </si>
  <si>
    <t>Stonebridge Shop</t>
  </si>
  <si>
    <t>Wallet</t>
  </si>
  <si>
    <t>TXN1073</t>
  </si>
  <si>
    <t>Timber Store</t>
  </si>
  <si>
    <t>Extension Board</t>
  </si>
  <si>
    <t>TXN1074</t>
  </si>
  <si>
    <t>Umber Distributors</t>
  </si>
  <si>
    <t>Graphics Tablet</t>
  </si>
  <si>
    <t>TXN1075</t>
  </si>
  <si>
    <t>Vale Shop</t>
  </si>
  <si>
    <t>Wireless Mouse</t>
  </si>
  <si>
    <t>TXN1076</t>
  </si>
  <si>
    <t>Willow Retail</t>
  </si>
  <si>
    <t>Juice Pack</t>
  </si>
  <si>
    <t>TXN1077</t>
  </si>
  <si>
    <t>Xylem Traders</t>
  </si>
  <si>
    <t>Storage Rack</t>
  </si>
  <si>
    <t>Transaction_ID</t>
  </si>
  <si>
    <t>Date</t>
  </si>
  <si>
    <t>Region</t>
  </si>
  <si>
    <t>Sales_Channel</t>
  </si>
  <si>
    <t>Customer_Name</t>
  </si>
  <si>
    <t>Category</t>
  </si>
  <si>
    <t>Product</t>
  </si>
  <si>
    <t>Quantity</t>
  </si>
  <si>
    <t>Unit_Price_INR</t>
  </si>
  <si>
    <t>Discount_Rate</t>
  </si>
  <si>
    <t>Payment_Method</t>
  </si>
  <si>
    <t>Status</t>
  </si>
  <si>
    <t>Sales_Rep_ID</t>
  </si>
  <si>
    <t>Grow Sales</t>
  </si>
  <si>
    <t>Discount Amount</t>
  </si>
  <si>
    <t>Net Sales</t>
  </si>
  <si>
    <t>Transaction Month</t>
  </si>
  <si>
    <t>avg.unitprice</t>
  </si>
  <si>
    <t>total quantity</t>
  </si>
  <si>
    <t>total netsales</t>
  </si>
  <si>
    <t>Transaction Flag</t>
  </si>
  <si>
    <t>Netsale Classification</t>
  </si>
  <si>
    <t>Quantity&amp;Discount Flag</t>
  </si>
  <si>
    <t>Cash OR UPI</t>
  </si>
  <si>
    <t>Price per unit(IFERROR)</t>
  </si>
  <si>
    <t>sumif(nor)</t>
  </si>
  <si>
    <t>sumifs(s,co)</t>
  </si>
  <si>
    <t>countif(pend)</t>
  </si>
  <si>
    <t>countifs(o,e)</t>
  </si>
  <si>
    <t>averageif</t>
  </si>
  <si>
    <t>sales_id</t>
  </si>
  <si>
    <t>sales_rep</t>
  </si>
  <si>
    <t>Miya</t>
  </si>
  <si>
    <t>Keerthi</t>
  </si>
  <si>
    <t>Sudha</t>
  </si>
  <si>
    <t>Manu</t>
  </si>
  <si>
    <t>Devi</t>
  </si>
  <si>
    <t>T05</t>
  </si>
  <si>
    <t>T11</t>
  </si>
  <si>
    <t>T12</t>
  </si>
  <si>
    <t>T13</t>
  </si>
  <si>
    <t>T14</t>
  </si>
  <si>
    <t>T15</t>
  </si>
  <si>
    <t>T17</t>
  </si>
  <si>
    <t>T18</t>
  </si>
  <si>
    <t>T19</t>
  </si>
  <si>
    <t>T20</t>
  </si>
  <si>
    <t>T-shirt</t>
  </si>
  <si>
    <t>cleaned customer name</t>
  </si>
  <si>
    <t>Standardized Regions</t>
  </si>
  <si>
    <t>Extract year&amp;month</t>
  </si>
  <si>
    <t>MID-numeric from Trans.ID</t>
  </si>
  <si>
    <t>combine region&amp;category</t>
  </si>
  <si>
    <t>Row Labels</t>
  </si>
  <si>
    <t>Grand Total</t>
  </si>
  <si>
    <t>Sum of Net Sales</t>
  </si>
  <si>
    <t xml:space="preserve"> north</t>
  </si>
  <si>
    <t>Jan</t>
  </si>
  <si>
    <t>Feb</t>
  </si>
  <si>
    <t>Mar</t>
  </si>
  <si>
    <t>Apr</t>
  </si>
  <si>
    <t>May</t>
  </si>
  <si>
    <t>kpi cards</t>
  </si>
  <si>
    <t>avgorder</t>
  </si>
  <si>
    <t>total trans</t>
  </si>
  <si>
    <t>SECTION C</t>
  </si>
  <si>
    <t>SECTION D</t>
  </si>
  <si>
    <t>SECTION A-T05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</si>
</sst>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
  </numFmts>
  <fonts count="7">
    <font>
      <sz val="11"/>
      <color theme="1"/>
      <name val="Calibri"/>
      <family val="2"/>
      <scheme val="minor"/>
    </font>
    <font>
      <b/>
      <sz val="11"/>
      <color rgb="FFFFFFFF"/>
      <name val="Calibri"/>
    </font>
    <font>
      <sz val="11"/>
      <name val="Calibri"/>
    </font>
    <font>
      <b/>
      <sz val="11"/>
      <color rgb="FFFFFFFF"/>
      <name val="Calibri"/>
      <family val="2"/>
    </font>
    <font>
      <sz val="8"/>
      <name val="Calibri"/>
      <family val="2"/>
      <scheme val="minor"/>
    </font>
    <font>
      <sz val="11"/>
      <name val="Calibri"/>
      <family val="2"/>
    </font>
    <font>
      <b/>
      <sz val="11"/>
      <color theme="1"/>
      <name val="Calibri"/>
      <family val="2"/>
    </font>
  </fonts>
  <fills count="4">
    <fill>
      <patternFill patternType="none"/>
    </fill>
    <fill>
      <patternFill patternType="gray125"/>
    </fill>
    <fill>
      <patternFill patternType="solid">
        <fgColor rgb="FFDBE5F1"/>
        <bgColor rgb="FFDBE5F1"/>
      </patternFill>
    </fill>
    <fill>
      <patternFill patternType="solid">
        <fgColor theme="3" tint="0.39997558519241921"/>
        <bgColor indexed="64"/>
      </patternFill>
    </fill>
  </fills>
  <borders count="5">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3" borderId="1" xfId="0" applyFont="1" applyFill="1" applyBorder="1" applyAlignment="1">
      <alignment vertical="center" wrapText="1"/>
    </xf>
    <xf numFmtId="0" fontId="1" fillId="3" borderId="3" xfId="0" applyFont="1" applyFill="1" applyBorder="1" applyAlignment="1">
      <alignment vertical="center" wrapText="1"/>
    </xf>
    <xf numFmtId="0" fontId="2" fillId="2" borderId="2" xfId="0" applyFont="1" applyFill="1" applyBorder="1" applyAlignment="1">
      <alignment vertical="top"/>
    </xf>
    <xf numFmtId="164" fontId="2" fillId="2" borderId="2" xfId="0" applyNumberFormat="1" applyFont="1" applyFill="1" applyBorder="1" applyAlignment="1">
      <alignment vertical="top"/>
    </xf>
    <xf numFmtId="165" fontId="2" fillId="2" borderId="2" xfId="0" applyNumberFormat="1" applyFont="1" applyFill="1" applyBorder="1" applyAlignment="1">
      <alignment vertical="top"/>
    </xf>
    <xf numFmtId="9" fontId="2" fillId="2" borderId="2" xfId="0" applyNumberFormat="1" applyFont="1" applyFill="1" applyBorder="1" applyAlignment="1">
      <alignment vertical="top"/>
    </xf>
    <xf numFmtId="0" fontId="2" fillId="0" borderId="2" xfId="0" applyFont="1" applyBorder="1" applyAlignment="1">
      <alignment vertical="top"/>
    </xf>
    <xf numFmtId="164" fontId="2" fillId="0" borderId="2" xfId="0" applyNumberFormat="1" applyFont="1" applyBorder="1" applyAlignment="1">
      <alignment vertical="top"/>
    </xf>
    <xf numFmtId="165" fontId="2" fillId="0" borderId="2" xfId="0" applyNumberFormat="1" applyFont="1" applyBorder="1" applyAlignment="1">
      <alignment vertical="top"/>
    </xf>
    <xf numFmtId="9" fontId="2" fillId="0" borderId="2" xfId="0" applyNumberFormat="1" applyFont="1" applyBorder="1" applyAlignment="1">
      <alignment vertical="top"/>
    </xf>
    <xf numFmtId="0" fontId="2" fillId="2" borderId="4" xfId="0" applyFont="1" applyFill="1" applyBorder="1" applyAlignment="1">
      <alignment vertical="top"/>
    </xf>
    <xf numFmtId="0" fontId="3" fillId="3" borderId="1" xfId="0" applyFont="1" applyFill="1" applyBorder="1" applyAlignment="1">
      <alignment vertical="center" wrapText="1"/>
    </xf>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6" fillId="0" borderId="1" xfId="0" applyFont="1" applyBorder="1" applyAlignment="1">
      <alignment vertical="center" wrapText="1"/>
    </xf>
    <xf numFmtId="0" fontId="5" fillId="2" borderId="0" xfId="0" applyFont="1" applyFill="1" applyAlignment="1">
      <alignment vertical="top"/>
    </xf>
    <xf numFmtId="164" fontId="5" fillId="2" borderId="0" xfId="0" applyNumberFormat="1" applyFont="1" applyFill="1" applyAlignment="1">
      <alignment vertical="top"/>
    </xf>
    <xf numFmtId="165" fontId="5" fillId="2" borderId="0" xfId="0" applyNumberFormat="1" applyFont="1" applyFill="1" applyAlignment="1">
      <alignment vertical="top"/>
    </xf>
    <xf numFmtId="9" fontId="5" fillId="2" borderId="0" xfId="0" applyNumberFormat="1" applyFont="1" applyFill="1" applyAlignment="1">
      <alignment vertical="top"/>
    </xf>
    <xf numFmtId="0" fontId="5" fillId="0" borderId="0" xfId="0" applyFont="1" applyAlignment="1">
      <alignment vertical="top"/>
    </xf>
    <xf numFmtId="164" fontId="5" fillId="0" borderId="0" xfId="0" applyNumberFormat="1" applyFont="1" applyAlignment="1">
      <alignment vertical="top"/>
    </xf>
    <xf numFmtId="165" fontId="5" fillId="0" borderId="0" xfId="0" applyNumberFormat="1" applyFont="1" applyAlignment="1">
      <alignment vertical="top"/>
    </xf>
    <xf numFmtId="9" fontId="5" fillId="0" borderId="0" xfId="0" applyNumberFormat="1" applyFont="1" applyAlignment="1">
      <alignment vertical="top"/>
    </xf>
  </cellXfs>
  <cellStyles count="1">
    <cellStyle name="Normal" xfId="0" builtinId="0"/>
  </cellStyles>
  <dxfs count="53">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numFmt numFmtId="13" formatCode="0%"/>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numFmt numFmtId="165" formatCode="\₹#,##0.00"/>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numFmt numFmtId="164" formatCode="dd\-mmm\-yyyy"/>
      <fill>
        <patternFill patternType="solid">
          <fgColor rgb="FFDBE5F1"/>
          <bgColor rgb="FFDBE5F1"/>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0" formatCode="General"/>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3" formatCode="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5" formatCode="\₹#,##0.00"/>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numFmt numFmtId="164" formatCode="dd\-mmm\-yyyy"/>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000000"/>
        </top>
      </border>
    </dxf>
    <dxf>
      <font>
        <b val="0"/>
        <i val="0"/>
        <strike val="0"/>
        <condense val="0"/>
        <extend val="0"/>
        <outline val="0"/>
        <shadow val="0"/>
        <u val="none"/>
        <vertAlign val="baseline"/>
        <sz val="11"/>
        <color auto="1"/>
        <name val="Calibri"/>
        <scheme val="none"/>
      </font>
      <fill>
        <patternFill patternType="solid">
          <fgColor rgb="FFDBE5F1"/>
          <bgColor rgb="FFDBE5F1"/>
        </patternFill>
      </fill>
      <alignment horizontal="general" vertical="top"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rgb="FFFFFFFF"/>
        <name val="Calibri"/>
        <scheme val="none"/>
      </font>
      <fill>
        <patternFill patternType="solid">
          <fgColor indexed="64"/>
          <bgColor theme="3" tint="0.39997558519241921"/>
        </patternFill>
      </fill>
      <alignment horizontal="general"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[Assignment2.xlsx]Sheet2!PivotTable1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ProductWise</a:t>
            </a:r>
            <a:r>
              <a:rPr lang="en-US" b="1" baseline="0">
                <a:solidFill>
                  <a:srgbClr val="002060"/>
                </a:solidFill>
              </a:rPr>
              <a:t> NetSale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59558180227471"/>
          <c:y val="0.17171296296296298"/>
          <c:w val="0.74640441819772529"/>
          <c:h val="0.77736111111111106"/>
        </c:manualLayout>
      </c:layout>
      <c:barChart>
        <c:barDir val="bar"/>
        <c:grouping val="clustered"/>
        <c:varyColors val="0"/>
        <c:ser>
          <c:idx val="0"/>
          <c:order val="0"/>
          <c:tx>
            <c:strRef>
              <c:f>Sheet2!$B$3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Sheet2!$A$4:$A$14</c:f>
              <c:strCache>
                <c:ptCount val="10"/>
                <c:pt idx="0">
                  <c:v>Smartphone</c:v>
                </c:pt>
                <c:pt idx="1">
                  <c:v>Laptop</c:v>
                </c:pt>
                <c:pt idx="2">
                  <c:v>Projector</c:v>
                </c:pt>
                <c:pt idx="3">
                  <c:v>Camera</c:v>
                </c:pt>
                <c:pt idx="4">
                  <c:v>Tablet</c:v>
                </c:pt>
                <c:pt idx="5">
                  <c:v>Refrigerator</c:v>
                </c:pt>
                <c:pt idx="6">
                  <c:v>Printer</c:v>
                </c:pt>
                <c:pt idx="7">
                  <c:v>Washing Machine</c:v>
                </c:pt>
                <c:pt idx="8">
                  <c:v>Monitor</c:v>
                </c:pt>
                <c:pt idx="9">
                  <c:v>Smartwatch</c:v>
                </c:pt>
              </c:strCache>
            </c:strRef>
          </c:cat>
          <c:val>
            <c:numRef>
              <c:f>Sheet2!$B$4:$B$14</c:f>
              <c:numCache>
                <c:formatCode>General</c:formatCode>
                <c:ptCount val="10"/>
                <c:pt idx="0">
                  <c:v>133950</c:v>
                </c:pt>
                <c:pt idx="1">
                  <c:v>95680</c:v>
                </c:pt>
                <c:pt idx="2">
                  <c:v>85560</c:v>
                </c:pt>
                <c:pt idx="3">
                  <c:v>78120</c:v>
                </c:pt>
                <c:pt idx="4">
                  <c:v>77440</c:v>
                </c:pt>
                <c:pt idx="5">
                  <c:v>72380</c:v>
                </c:pt>
                <c:pt idx="6">
                  <c:v>66600</c:v>
                </c:pt>
                <c:pt idx="7">
                  <c:v>57960</c:v>
                </c:pt>
                <c:pt idx="8">
                  <c:v>41216</c:v>
                </c:pt>
                <c:pt idx="9">
                  <c:v>40320</c:v>
                </c:pt>
              </c:numCache>
            </c:numRef>
          </c:val>
          <c:extLst>
            <c:ext xmlns:c16="http://schemas.microsoft.com/office/drawing/2014/chart" uri="{C3380CC4-5D6E-409C-BE32-E72D297353CC}">
              <c16:uniqueId val="{00000000-2405-4F1F-96F5-752CE8E175F0}"/>
            </c:ext>
          </c:extLst>
        </c:ser>
        <c:dLbls>
          <c:dLblPos val="outEnd"/>
          <c:showLegendKey val="0"/>
          <c:showVal val="1"/>
          <c:showCatName val="0"/>
          <c:showSerName val="0"/>
          <c:showPercent val="0"/>
          <c:showBubbleSize val="0"/>
        </c:dLbls>
        <c:gapWidth val="182"/>
        <c:axId val="1798622255"/>
        <c:axId val="1798618895"/>
      </c:barChart>
      <c:catAx>
        <c:axId val="179862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98618895"/>
        <c:crosses val="autoZero"/>
        <c:auto val="1"/>
        <c:lblAlgn val="ctr"/>
        <c:lblOffset val="100"/>
        <c:noMultiLvlLbl val="0"/>
      </c:catAx>
      <c:valAx>
        <c:axId val="1798618895"/>
        <c:scaling>
          <c:orientation val="minMax"/>
        </c:scaling>
        <c:delete val="1"/>
        <c:axPos val="b"/>
        <c:numFmt formatCode="General" sourceLinked="1"/>
        <c:majorTickMark val="none"/>
        <c:minorTickMark val="none"/>
        <c:tickLblPos val="nextTo"/>
        <c:crossAx val="179862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[Assignment2.xlsx]Sheet2!PivotTable2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Netsales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0.12604184704184707"/>
          <c:w val="0.93888888888888888"/>
          <c:h val="0.72088764946048411"/>
        </c:manualLayout>
      </c:layout>
      <c:lineChart>
        <c:grouping val="standard"/>
        <c:varyColors val="0"/>
        <c:ser>
          <c:idx val="0"/>
          <c:order val="0"/>
          <c:tx>
            <c:strRef>
              <c:f>Sheet2!$B$18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Sheet2!$A$19:$A$24</c:f>
              <c:strCache>
                <c:ptCount val="5"/>
                <c:pt idx="0">
                  <c:v> north</c:v>
                </c:pt>
                <c:pt idx="1">
                  <c:v>East</c:v>
                </c:pt>
                <c:pt idx="2">
                  <c:v>North</c:v>
                </c:pt>
                <c:pt idx="3">
                  <c:v>South</c:v>
                </c:pt>
                <c:pt idx="4">
                  <c:v>West</c:v>
                </c:pt>
              </c:strCache>
            </c:strRef>
          </c:cat>
          <c:val>
            <c:numRef>
              <c:f>Sheet2!$B$19:$B$24</c:f>
              <c:numCache>
                <c:formatCode>General</c:formatCode>
                <c:ptCount val="5"/>
                <c:pt idx="0">
                  <c:v>4845</c:v>
                </c:pt>
                <c:pt idx="1">
                  <c:v>392316</c:v>
                </c:pt>
                <c:pt idx="2">
                  <c:v>499870.9</c:v>
                </c:pt>
                <c:pt idx="3">
                  <c:v>189429.4</c:v>
                </c:pt>
                <c:pt idx="4">
                  <c:v>507802.5</c:v>
                </c:pt>
              </c:numCache>
            </c:numRef>
          </c:val>
          <c:smooth val="0"/>
          <c:extLst>
            <c:ext xmlns:c16="http://schemas.microsoft.com/office/drawing/2014/chart" uri="{C3380CC4-5D6E-409C-BE32-E72D297353CC}">
              <c16:uniqueId val="{00000000-CD5F-4B23-985B-C4DD798A680A}"/>
            </c:ext>
          </c:extLst>
        </c:ser>
        <c:dLbls>
          <c:dLblPos val="t"/>
          <c:showLegendKey val="0"/>
          <c:showVal val="1"/>
          <c:showCatName val="0"/>
          <c:showSerName val="0"/>
          <c:showPercent val="0"/>
          <c:showBubbleSize val="0"/>
        </c:dLbls>
        <c:smooth val="0"/>
        <c:axId val="1904607263"/>
        <c:axId val="1904611103"/>
      </c:lineChart>
      <c:catAx>
        <c:axId val="190460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04611103"/>
        <c:crosses val="autoZero"/>
        <c:auto val="1"/>
        <c:lblAlgn val="ctr"/>
        <c:lblOffset val="100"/>
        <c:noMultiLvlLbl val="0"/>
      </c:catAx>
      <c:valAx>
        <c:axId val="1904611103"/>
        <c:scaling>
          <c:orientation val="minMax"/>
        </c:scaling>
        <c:delete val="1"/>
        <c:axPos val="l"/>
        <c:numFmt formatCode="General" sourceLinked="1"/>
        <c:majorTickMark val="none"/>
        <c:minorTickMark val="none"/>
        <c:tickLblPos val="nextTo"/>
        <c:crossAx val="190460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[Assignment2.xlsx]Sheet2!PivotTable4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Monthly</a:t>
            </a:r>
            <a:r>
              <a:rPr lang="en-US" b="1" baseline="0">
                <a:solidFill>
                  <a:srgbClr val="002060"/>
                </a:solidFill>
              </a:rPr>
              <a:t> Netsale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Sheet2!$A$38:$A$43</c:f>
              <c:strCache>
                <c:ptCount val="5"/>
                <c:pt idx="0">
                  <c:v>Jan</c:v>
                </c:pt>
                <c:pt idx="1">
                  <c:v>Feb</c:v>
                </c:pt>
                <c:pt idx="2">
                  <c:v>Mar</c:v>
                </c:pt>
                <c:pt idx="3">
                  <c:v>Apr</c:v>
                </c:pt>
                <c:pt idx="4">
                  <c:v>May</c:v>
                </c:pt>
              </c:strCache>
            </c:strRef>
          </c:cat>
          <c:val>
            <c:numRef>
              <c:f>Sheet2!$B$38:$B$43</c:f>
              <c:numCache>
                <c:formatCode>General</c:formatCode>
                <c:ptCount val="5"/>
                <c:pt idx="0">
                  <c:v>529893.4</c:v>
                </c:pt>
                <c:pt idx="1">
                  <c:v>243171.5</c:v>
                </c:pt>
                <c:pt idx="2">
                  <c:v>463243.2</c:v>
                </c:pt>
                <c:pt idx="3">
                  <c:v>248214.9</c:v>
                </c:pt>
                <c:pt idx="4">
                  <c:v>109740.8</c:v>
                </c:pt>
              </c:numCache>
            </c:numRef>
          </c:val>
          <c:extLst>
            <c:ext xmlns:c16="http://schemas.microsoft.com/office/drawing/2014/chart" uri="{C3380CC4-5D6E-409C-BE32-E72D297353CC}">
              <c16:uniqueId val="{00000000-65BE-40F4-9462-E34DFA5253B6}"/>
            </c:ext>
          </c:extLst>
        </c:ser>
        <c:dLbls>
          <c:dLblPos val="outEnd"/>
          <c:showLegendKey val="0"/>
          <c:showVal val="1"/>
          <c:showCatName val="0"/>
          <c:showSerName val="0"/>
          <c:showPercent val="0"/>
          <c:showBubbleSize val="0"/>
        </c:dLbls>
        <c:gapWidth val="219"/>
        <c:overlap val="-27"/>
        <c:axId val="1037526527"/>
        <c:axId val="1037527967"/>
      </c:barChart>
      <c:catAx>
        <c:axId val="103752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37527967"/>
        <c:crosses val="autoZero"/>
        <c:auto val="1"/>
        <c:lblAlgn val="ctr"/>
        <c:lblOffset val="100"/>
        <c:noMultiLvlLbl val="0"/>
      </c:catAx>
      <c:valAx>
        <c:axId val="1037527967"/>
        <c:scaling>
          <c:orientation val="minMax"/>
        </c:scaling>
        <c:delete val="1"/>
        <c:axPos val="l"/>
        <c:numFmt formatCode="General" sourceLinked="1"/>
        <c:majorTickMark val="none"/>
        <c:minorTickMark val="none"/>
        <c:tickLblPos val="nextTo"/>
        <c:crossAx val="10375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[Assignment2.xlsx]Sheet2!PivotTable3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Netsales</a:t>
            </a:r>
            <a:r>
              <a:rPr lang="en-US" b="1" baseline="0">
                <a:solidFill>
                  <a:srgbClr val="002060"/>
                </a:solidFill>
              </a:rPr>
              <a:t> by Region</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bar"/>
        <c:grouping val="clustered"/>
        <c:varyColors val="0"/>
        <c:ser>
          <c:idx val="0"/>
          <c:order val="0"/>
          <c:tx>
            <c:strRef>
              <c:f>Sheet2!$B$28</c:f>
              <c:strCache>
                <c:ptCount val="1"/>
                <c:pt idx="0">
                  <c:v>Total</c:v>
                </c:pt>
              </c:strCache>
            </c:strRef>
          </c:tx>
          <c:spPr>
            <a:solidFill>
              <a:srgbClr val="002060"/>
            </a:solidFill>
            <a:ln>
              <a:noFill/>
            </a:ln>
            <a:effectLst/>
          </c:spPr>
          <c:invertIfNegative val="0"/>
          <c:dPt>
            <c:idx val="3"/>
            <c:invertIfNegative val="0"/>
            <c:bubble3D val="0"/>
            <c:extLst>
              <c:ext xmlns:c16="http://schemas.microsoft.com/office/drawing/2014/chart" uri="{C3380CC4-5D6E-409C-BE32-E72D297353CC}">
                <c16:uniqueId val="{00000001-4336-42D4-921B-68C400F11D09}"/>
              </c:ext>
            </c:extLst>
          </c:dPt>
          <c:dLbls>
            <c:dLbl>
              <c:idx val="3"/>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336-42D4-921B-68C400F11D0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Sheet2!$A$29:$A$33</c:f>
              <c:strCache>
                <c:ptCount val="4"/>
                <c:pt idx="0">
                  <c:v>Cancelled</c:v>
                </c:pt>
                <c:pt idx="1">
                  <c:v>Completed</c:v>
                </c:pt>
                <c:pt idx="2">
                  <c:v>Pending</c:v>
                </c:pt>
                <c:pt idx="3">
                  <c:v>Refunded</c:v>
                </c:pt>
              </c:strCache>
            </c:strRef>
          </c:cat>
          <c:val>
            <c:numRef>
              <c:f>Sheet2!$B$29:$B$33</c:f>
              <c:numCache>
                <c:formatCode>General</c:formatCode>
                <c:ptCount val="4"/>
                <c:pt idx="0">
                  <c:v>12960</c:v>
                </c:pt>
                <c:pt idx="1">
                  <c:v>1455631.8</c:v>
                </c:pt>
                <c:pt idx="2">
                  <c:v>81752</c:v>
                </c:pt>
                <c:pt idx="3">
                  <c:v>43920</c:v>
                </c:pt>
              </c:numCache>
            </c:numRef>
          </c:val>
          <c:extLst>
            <c:ext xmlns:c16="http://schemas.microsoft.com/office/drawing/2014/chart" uri="{C3380CC4-5D6E-409C-BE32-E72D297353CC}">
              <c16:uniqueId val="{00000000-4336-42D4-921B-68C400F11D09}"/>
            </c:ext>
          </c:extLst>
        </c:ser>
        <c:dLbls>
          <c:showLegendKey val="0"/>
          <c:showVal val="1"/>
          <c:showCatName val="0"/>
          <c:showSerName val="0"/>
          <c:showPercent val="0"/>
          <c:showBubbleSize val="0"/>
        </c:dLbls>
        <c:gapWidth val="150"/>
        <c:axId val="1817689887"/>
        <c:axId val="1817687967"/>
      </c:barChart>
      <c:catAx>
        <c:axId val="181768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817687967"/>
        <c:crosses val="autoZero"/>
        <c:auto val="1"/>
        <c:lblAlgn val="ctr"/>
        <c:lblOffset val="100"/>
        <c:noMultiLvlLbl val="0"/>
      </c:catAx>
      <c:valAx>
        <c:axId val="1817687967"/>
        <c:scaling>
          <c:orientation val="minMax"/>
        </c:scaling>
        <c:delete val="1"/>
        <c:axPos val="b"/>
        <c:numFmt formatCode="General" sourceLinked="1"/>
        <c:majorTickMark val="none"/>
        <c:minorTickMark val="none"/>
        <c:tickLblPos val="nextTo"/>
        <c:crossAx val="18176898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shboard!A1"/><Relationship Id="rId18" Type="http://schemas.openxmlformats.org/officeDocument/2006/relationships/image" Target="../media/image11.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hyperlink" Target="#Sheet1!A1"/><Relationship Id="rId10" Type="http://schemas.openxmlformats.org/officeDocument/2006/relationships/chart" Target="../charts/chart2.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hyperlink" Target="#Sheet2!A1"/></Relationships>
</file>

<file path=xl/drawings/drawing1.xml><?xml version="1.0" encoding="utf-8"?>
<xdr:wsDr xmlns:xdr="http://schemas.openxmlformats.org/drawingml/2006/spreadsheetDrawing" xmlns:a="http://schemas.openxmlformats.org/drawingml/2006/main">
  <xdr:twoCellAnchor>
    <xdr:from>
      <xdr:col>0</xdr:col>
      <xdr:colOff>395150</xdr:colOff>
      <xdr:row>0</xdr:row>
      <xdr:rowOff>0</xdr:rowOff>
    </xdr:from>
    <xdr:to>
      <xdr:col>31</xdr:col>
      <xdr:colOff>359228</xdr:colOff>
      <xdr:row>53</xdr:row>
      <xdr:rowOff>10885</xdr:rowOff>
    </xdr:to>
    <xdr:sp macro="" textlink="">
      <xdr:nvSpPr>
        <xdr:cNvPr id="3" name="Rectangle: Rounded Corners 2">
          <a:extLst>
            <a:ext uri="{FF2B5EF4-FFF2-40B4-BE49-F238E27FC236}">
              <a16:creationId xmlns:a16="http://schemas.microsoft.com/office/drawing/2014/main" id="{4E0DFE84-D12B-91E0-46BC-8C68CAE8DFCC}"/>
            </a:ext>
          </a:extLst>
        </xdr:cNvPr>
        <xdr:cNvSpPr/>
      </xdr:nvSpPr>
      <xdr:spPr>
        <a:xfrm>
          <a:off x="395150" y="0"/>
          <a:ext cx="18861678" cy="9818914"/>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500744</xdr:colOff>
      <xdr:row>3</xdr:row>
      <xdr:rowOff>32656</xdr:rowOff>
    </xdr:from>
    <xdr:to>
      <xdr:col>31</xdr:col>
      <xdr:colOff>18180</xdr:colOff>
      <xdr:row>50</xdr:row>
      <xdr:rowOff>141514</xdr:rowOff>
    </xdr:to>
    <xdr:sp macro="" textlink="">
      <xdr:nvSpPr>
        <xdr:cNvPr id="4" name="Rectangle: Rounded Corners 3">
          <a:extLst>
            <a:ext uri="{FF2B5EF4-FFF2-40B4-BE49-F238E27FC236}">
              <a16:creationId xmlns:a16="http://schemas.microsoft.com/office/drawing/2014/main" id="{04026671-3C8E-47DC-A058-604502858C3D}"/>
            </a:ext>
          </a:extLst>
        </xdr:cNvPr>
        <xdr:cNvSpPr/>
      </xdr:nvSpPr>
      <xdr:spPr>
        <a:xfrm>
          <a:off x="2939144" y="587827"/>
          <a:ext cx="15976636" cy="8806544"/>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435429</xdr:colOff>
      <xdr:row>6</xdr:row>
      <xdr:rowOff>13063</xdr:rowOff>
    </xdr:from>
    <xdr:to>
      <xdr:col>9</xdr:col>
      <xdr:colOff>385371</xdr:colOff>
      <xdr:row>47</xdr:row>
      <xdr:rowOff>36120</xdr:rowOff>
    </xdr:to>
    <xdr:sp macro="" textlink="">
      <xdr:nvSpPr>
        <xdr:cNvPr id="6" name="Rectangle: Rounded Corners 5">
          <a:extLst>
            <a:ext uri="{FF2B5EF4-FFF2-40B4-BE49-F238E27FC236}">
              <a16:creationId xmlns:a16="http://schemas.microsoft.com/office/drawing/2014/main" id="{8FFAF42D-61EC-4023-B4D9-BD95DA5193C1}"/>
            </a:ext>
          </a:extLst>
        </xdr:cNvPr>
        <xdr:cNvSpPr/>
      </xdr:nvSpPr>
      <xdr:spPr>
        <a:xfrm>
          <a:off x="3483429" y="1123406"/>
          <a:ext cx="2388342" cy="7610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587828</xdr:colOff>
      <xdr:row>6</xdr:row>
      <xdr:rowOff>23948</xdr:rowOff>
    </xdr:from>
    <xdr:to>
      <xdr:col>14</xdr:col>
      <xdr:colOff>589028</xdr:colOff>
      <xdr:row>11</xdr:row>
      <xdr:rowOff>178662</xdr:rowOff>
    </xdr:to>
    <xdr:sp macro="" textlink="">
      <xdr:nvSpPr>
        <xdr:cNvPr id="7" name="Rectangle: Rounded Corners 6">
          <a:extLst>
            <a:ext uri="{FF2B5EF4-FFF2-40B4-BE49-F238E27FC236}">
              <a16:creationId xmlns:a16="http://schemas.microsoft.com/office/drawing/2014/main" id="{3DB5DB61-4446-4100-9BAA-CEDF7FDC65F9}"/>
            </a:ext>
          </a:extLst>
        </xdr:cNvPr>
        <xdr:cNvSpPr/>
      </xdr:nvSpPr>
      <xdr:spPr>
        <a:xfrm>
          <a:off x="6074228" y="1134291"/>
          <a:ext cx="3049200" cy="10800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58057</xdr:colOff>
      <xdr:row>6</xdr:row>
      <xdr:rowOff>23948</xdr:rowOff>
    </xdr:from>
    <xdr:to>
      <xdr:col>20</xdr:col>
      <xdr:colOff>59257</xdr:colOff>
      <xdr:row>11</xdr:row>
      <xdr:rowOff>178662</xdr:rowOff>
    </xdr:to>
    <xdr:sp macro="" textlink="">
      <xdr:nvSpPr>
        <xdr:cNvPr id="8" name="Rectangle: Rounded Corners 7">
          <a:extLst>
            <a:ext uri="{FF2B5EF4-FFF2-40B4-BE49-F238E27FC236}">
              <a16:creationId xmlns:a16="http://schemas.microsoft.com/office/drawing/2014/main" id="{9FDD2FDF-503A-433B-A9EB-2503EB2A6543}"/>
            </a:ext>
          </a:extLst>
        </xdr:cNvPr>
        <xdr:cNvSpPr/>
      </xdr:nvSpPr>
      <xdr:spPr>
        <a:xfrm>
          <a:off x="9202057" y="1134291"/>
          <a:ext cx="3049200" cy="10800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137886</xdr:colOff>
      <xdr:row>6</xdr:row>
      <xdr:rowOff>23948</xdr:rowOff>
    </xdr:from>
    <xdr:to>
      <xdr:col>25</xdr:col>
      <xdr:colOff>139086</xdr:colOff>
      <xdr:row>11</xdr:row>
      <xdr:rowOff>178662</xdr:rowOff>
    </xdr:to>
    <xdr:sp macro="" textlink="">
      <xdr:nvSpPr>
        <xdr:cNvPr id="10" name="Rectangle: Rounded Corners 9">
          <a:extLst>
            <a:ext uri="{FF2B5EF4-FFF2-40B4-BE49-F238E27FC236}">
              <a16:creationId xmlns:a16="http://schemas.microsoft.com/office/drawing/2014/main" id="{365C9D8F-CFFB-45EA-8900-11192F3E2D1B}"/>
            </a:ext>
          </a:extLst>
        </xdr:cNvPr>
        <xdr:cNvSpPr/>
      </xdr:nvSpPr>
      <xdr:spPr>
        <a:xfrm>
          <a:off x="12329886" y="1134291"/>
          <a:ext cx="3049200" cy="10800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25</xdr:col>
      <xdr:colOff>217715</xdr:colOff>
      <xdr:row>6</xdr:row>
      <xdr:rowOff>23948</xdr:rowOff>
    </xdr:from>
    <xdr:to>
      <xdr:col>30</xdr:col>
      <xdr:colOff>218915</xdr:colOff>
      <xdr:row>11</xdr:row>
      <xdr:rowOff>178662</xdr:rowOff>
    </xdr:to>
    <xdr:sp macro="" textlink="">
      <xdr:nvSpPr>
        <xdr:cNvPr id="11" name="Rectangle: Rounded Corners 10">
          <a:extLst>
            <a:ext uri="{FF2B5EF4-FFF2-40B4-BE49-F238E27FC236}">
              <a16:creationId xmlns:a16="http://schemas.microsoft.com/office/drawing/2014/main" id="{C76304E5-EA45-4036-ABE3-5B3136DD6374}"/>
            </a:ext>
          </a:extLst>
        </xdr:cNvPr>
        <xdr:cNvSpPr/>
      </xdr:nvSpPr>
      <xdr:spPr>
        <a:xfrm>
          <a:off x="15457715" y="1134291"/>
          <a:ext cx="3049200" cy="10800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457201</xdr:colOff>
      <xdr:row>0</xdr:row>
      <xdr:rowOff>141515</xdr:rowOff>
    </xdr:from>
    <xdr:to>
      <xdr:col>19</xdr:col>
      <xdr:colOff>21772</xdr:colOff>
      <xdr:row>2</xdr:row>
      <xdr:rowOff>65315</xdr:rowOff>
    </xdr:to>
    <xdr:sp macro="" textlink="">
      <xdr:nvSpPr>
        <xdr:cNvPr id="12" name="TextBox 11">
          <a:extLst>
            <a:ext uri="{FF2B5EF4-FFF2-40B4-BE49-F238E27FC236}">
              <a16:creationId xmlns:a16="http://schemas.microsoft.com/office/drawing/2014/main" id="{60C6DD49-F4FD-3061-FCBF-0A0A7A833AB8}"/>
            </a:ext>
          </a:extLst>
        </xdr:cNvPr>
        <xdr:cNvSpPr txBox="1"/>
      </xdr:nvSpPr>
      <xdr:spPr>
        <a:xfrm>
          <a:off x="7772401" y="141515"/>
          <a:ext cx="3831771"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rPr>
            <a:t>Financial</a:t>
          </a:r>
          <a:r>
            <a:rPr lang="en-IN" sz="2000" b="1" baseline="0">
              <a:solidFill>
                <a:schemeClr val="bg1"/>
              </a:solidFill>
            </a:rPr>
            <a:t> Transactions Dashboard</a:t>
          </a:r>
          <a:endParaRPr lang="en-IN" sz="2000" b="1">
            <a:solidFill>
              <a:schemeClr val="bg1"/>
            </a:solidFill>
          </a:endParaRPr>
        </a:p>
      </xdr:txBody>
    </xdr:sp>
    <xdr:clientData/>
  </xdr:twoCellAnchor>
  <xdr:twoCellAnchor>
    <xdr:from>
      <xdr:col>26</xdr:col>
      <xdr:colOff>283029</xdr:colOff>
      <xdr:row>2</xdr:row>
      <xdr:rowOff>0</xdr:rowOff>
    </xdr:from>
    <xdr:to>
      <xdr:col>28</xdr:col>
      <xdr:colOff>576943</xdr:colOff>
      <xdr:row>3</xdr:row>
      <xdr:rowOff>0</xdr:rowOff>
    </xdr:to>
    <xdr:sp macro="" textlink="">
      <xdr:nvSpPr>
        <xdr:cNvPr id="13" name="TextBox 12">
          <a:extLst>
            <a:ext uri="{FF2B5EF4-FFF2-40B4-BE49-F238E27FC236}">
              <a16:creationId xmlns:a16="http://schemas.microsoft.com/office/drawing/2014/main" id="{F4962842-1221-3548-63BE-420B56BEEFF1}"/>
            </a:ext>
          </a:extLst>
        </xdr:cNvPr>
        <xdr:cNvSpPr txBox="1"/>
      </xdr:nvSpPr>
      <xdr:spPr>
        <a:xfrm>
          <a:off x="16132629" y="370114"/>
          <a:ext cx="1513114" cy="18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bg1"/>
              </a:solidFill>
              <a:effectLst/>
              <a:latin typeface="+mn-lt"/>
              <a:ea typeface="+mn-ea"/>
              <a:cs typeface="+mn-cs"/>
            </a:rPr>
            <a:t>24-May-2026</a:t>
          </a:r>
          <a:r>
            <a:rPr lang="en-IN">
              <a:solidFill>
                <a:schemeClr val="bg1"/>
              </a:solidFill>
              <a:effectLst/>
            </a:rPr>
            <a:t> </a:t>
          </a:r>
          <a:endParaRPr lang="en-IN" sz="1100">
            <a:solidFill>
              <a:schemeClr val="bg1"/>
            </a:solidFill>
          </a:endParaRPr>
        </a:p>
      </xdr:txBody>
    </xdr:sp>
    <xdr:clientData/>
  </xdr:twoCellAnchor>
  <xdr:twoCellAnchor editAs="oneCell">
    <xdr:from>
      <xdr:col>25</xdr:col>
      <xdr:colOff>348344</xdr:colOff>
      <xdr:row>0</xdr:row>
      <xdr:rowOff>76201</xdr:rowOff>
    </xdr:from>
    <xdr:to>
      <xdr:col>26</xdr:col>
      <xdr:colOff>272143</xdr:colOff>
      <xdr:row>3</xdr:row>
      <xdr:rowOff>54429</xdr:rowOff>
    </xdr:to>
    <xdr:pic>
      <xdr:nvPicPr>
        <xdr:cNvPr id="15" name="Graphic 14" descr="Daily calendar with solid fill">
          <a:extLst>
            <a:ext uri="{FF2B5EF4-FFF2-40B4-BE49-F238E27FC236}">
              <a16:creationId xmlns:a16="http://schemas.microsoft.com/office/drawing/2014/main" id="{89DEF7C8-EB42-5762-6163-F89CAE8CA1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588344" y="76201"/>
          <a:ext cx="533399" cy="533399"/>
        </a:xfrm>
        <a:prstGeom prst="rect">
          <a:avLst/>
        </a:prstGeom>
      </xdr:spPr>
    </xdr:pic>
    <xdr:clientData/>
  </xdr:twoCellAnchor>
  <xdr:twoCellAnchor>
    <xdr:from>
      <xdr:col>26</xdr:col>
      <xdr:colOff>261258</xdr:colOff>
      <xdr:row>0</xdr:row>
      <xdr:rowOff>152402</xdr:rowOff>
    </xdr:from>
    <xdr:to>
      <xdr:col>28</xdr:col>
      <xdr:colOff>533400</xdr:colOff>
      <xdr:row>2</xdr:row>
      <xdr:rowOff>10888</xdr:rowOff>
    </xdr:to>
    <xdr:sp macro="" textlink="">
      <xdr:nvSpPr>
        <xdr:cNvPr id="16" name="TextBox 15">
          <a:extLst>
            <a:ext uri="{FF2B5EF4-FFF2-40B4-BE49-F238E27FC236}">
              <a16:creationId xmlns:a16="http://schemas.microsoft.com/office/drawing/2014/main" id="{6130EBEA-5792-4B70-4B91-929F9AB89044}"/>
            </a:ext>
          </a:extLst>
        </xdr:cNvPr>
        <xdr:cNvSpPr txBox="1"/>
      </xdr:nvSpPr>
      <xdr:spPr>
        <a:xfrm>
          <a:off x="16110858" y="152402"/>
          <a:ext cx="149134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Data Last Updated On:</a:t>
          </a:r>
        </a:p>
      </xdr:txBody>
    </xdr:sp>
    <xdr:clientData/>
  </xdr:twoCellAnchor>
  <xdr:twoCellAnchor>
    <xdr:from>
      <xdr:col>11</xdr:col>
      <xdr:colOff>119743</xdr:colOff>
      <xdr:row>6</xdr:row>
      <xdr:rowOff>87086</xdr:rowOff>
    </xdr:from>
    <xdr:to>
      <xdr:col>13</xdr:col>
      <xdr:colOff>576943</xdr:colOff>
      <xdr:row>8</xdr:row>
      <xdr:rowOff>119743</xdr:rowOff>
    </xdr:to>
    <xdr:sp macro="" textlink="">
      <xdr:nvSpPr>
        <xdr:cNvPr id="17" name="TextBox 16">
          <a:extLst>
            <a:ext uri="{FF2B5EF4-FFF2-40B4-BE49-F238E27FC236}">
              <a16:creationId xmlns:a16="http://schemas.microsoft.com/office/drawing/2014/main" id="{E2B0C4B5-DF66-45A0-F4B9-E404C20E306B}"/>
            </a:ext>
          </a:extLst>
        </xdr:cNvPr>
        <xdr:cNvSpPr txBox="1"/>
      </xdr:nvSpPr>
      <xdr:spPr>
        <a:xfrm>
          <a:off x="6825343" y="1197429"/>
          <a:ext cx="1676400" cy="402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NetSales</a:t>
          </a:r>
        </a:p>
      </xdr:txBody>
    </xdr:sp>
    <xdr:clientData/>
  </xdr:twoCellAnchor>
  <xdr:twoCellAnchor>
    <xdr:from>
      <xdr:col>15</xdr:col>
      <xdr:colOff>413655</xdr:colOff>
      <xdr:row>6</xdr:row>
      <xdr:rowOff>97971</xdr:rowOff>
    </xdr:from>
    <xdr:to>
      <xdr:col>19</xdr:col>
      <xdr:colOff>489856</xdr:colOff>
      <xdr:row>8</xdr:row>
      <xdr:rowOff>97972</xdr:rowOff>
    </xdr:to>
    <xdr:sp macro="" textlink="">
      <xdr:nvSpPr>
        <xdr:cNvPr id="18" name="TextBox 17">
          <a:extLst>
            <a:ext uri="{FF2B5EF4-FFF2-40B4-BE49-F238E27FC236}">
              <a16:creationId xmlns:a16="http://schemas.microsoft.com/office/drawing/2014/main" id="{F4561605-E0BD-43AC-871A-E6DD80BE9BB8}"/>
            </a:ext>
          </a:extLst>
        </xdr:cNvPr>
        <xdr:cNvSpPr txBox="1"/>
      </xdr:nvSpPr>
      <xdr:spPr>
        <a:xfrm>
          <a:off x="9557655" y="1208314"/>
          <a:ext cx="2514601"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Completed</a:t>
          </a:r>
          <a:r>
            <a:rPr lang="en-IN" sz="1800" b="1" baseline="0"/>
            <a:t> Transactions</a:t>
          </a:r>
          <a:endParaRPr lang="en-IN" sz="1800" b="1"/>
        </a:p>
      </xdr:txBody>
    </xdr:sp>
    <xdr:clientData/>
  </xdr:twoCellAnchor>
  <xdr:twoCellAnchor>
    <xdr:from>
      <xdr:col>21</xdr:col>
      <xdr:colOff>141515</xdr:colOff>
      <xdr:row>6</xdr:row>
      <xdr:rowOff>97973</xdr:rowOff>
    </xdr:from>
    <xdr:to>
      <xdr:col>25</xdr:col>
      <xdr:colOff>185058</xdr:colOff>
      <xdr:row>8</xdr:row>
      <xdr:rowOff>43544</xdr:rowOff>
    </xdr:to>
    <xdr:sp macro="" textlink="">
      <xdr:nvSpPr>
        <xdr:cNvPr id="19" name="TextBox 18">
          <a:extLst>
            <a:ext uri="{FF2B5EF4-FFF2-40B4-BE49-F238E27FC236}">
              <a16:creationId xmlns:a16="http://schemas.microsoft.com/office/drawing/2014/main" id="{493A7C1E-077F-3C60-5A49-51CA63EFFA1A}"/>
            </a:ext>
          </a:extLst>
        </xdr:cNvPr>
        <xdr:cNvSpPr txBox="1"/>
      </xdr:nvSpPr>
      <xdr:spPr>
        <a:xfrm>
          <a:off x="12943115" y="1208316"/>
          <a:ext cx="2481943" cy="315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 Order Value</a:t>
          </a:r>
        </a:p>
      </xdr:txBody>
    </xdr:sp>
    <xdr:clientData/>
  </xdr:twoCellAnchor>
  <xdr:twoCellAnchor>
    <xdr:from>
      <xdr:col>26</xdr:col>
      <xdr:colOff>381000</xdr:colOff>
      <xdr:row>6</xdr:row>
      <xdr:rowOff>65315</xdr:rowOff>
    </xdr:from>
    <xdr:to>
      <xdr:col>29</xdr:col>
      <xdr:colOff>566057</xdr:colOff>
      <xdr:row>8</xdr:row>
      <xdr:rowOff>65316</xdr:rowOff>
    </xdr:to>
    <xdr:sp macro="" textlink="">
      <xdr:nvSpPr>
        <xdr:cNvPr id="20" name="TextBox 19">
          <a:extLst>
            <a:ext uri="{FF2B5EF4-FFF2-40B4-BE49-F238E27FC236}">
              <a16:creationId xmlns:a16="http://schemas.microsoft.com/office/drawing/2014/main" id="{94B188A2-B7A9-131B-3BDA-9E75D759021D}"/>
            </a:ext>
          </a:extLst>
        </xdr:cNvPr>
        <xdr:cNvSpPr txBox="1"/>
      </xdr:nvSpPr>
      <xdr:spPr>
        <a:xfrm>
          <a:off x="16230600" y="1175658"/>
          <a:ext cx="2013857"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Quantity</a:t>
          </a:r>
        </a:p>
      </xdr:txBody>
    </xdr:sp>
    <xdr:clientData/>
  </xdr:twoCellAnchor>
  <xdr:twoCellAnchor editAs="oneCell">
    <xdr:from>
      <xdr:col>9</xdr:col>
      <xdr:colOff>511629</xdr:colOff>
      <xdr:row>7</xdr:row>
      <xdr:rowOff>10886</xdr:rowOff>
    </xdr:from>
    <xdr:to>
      <xdr:col>10</xdr:col>
      <xdr:colOff>500743</xdr:colOff>
      <xdr:row>10</xdr:row>
      <xdr:rowOff>54429</xdr:rowOff>
    </xdr:to>
    <xdr:pic>
      <xdr:nvPicPr>
        <xdr:cNvPr id="22" name="Graphic 21" descr="Dollar with solid fill">
          <a:extLst>
            <a:ext uri="{FF2B5EF4-FFF2-40B4-BE49-F238E27FC236}">
              <a16:creationId xmlns:a16="http://schemas.microsoft.com/office/drawing/2014/main" id="{C06862B0-A769-B658-AE76-85F38B4CD6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98029" y="1306286"/>
          <a:ext cx="598714" cy="598714"/>
        </a:xfrm>
        <a:prstGeom prst="rect">
          <a:avLst/>
        </a:prstGeom>
      </xdr:spPr>
    </xdr:pic>
    <xdr:clientData/>
  </xdr:twoCellAnchor>
  <xdr:twoCellAnchor editAs="oneCell">
    <xdr:from>
      <xdr:col>15</xdr:col>
      <xdr:colOff>119743</xdr:colOff>
      <xdr:row>7</xdr:row>
      <xdr:rowOff>185056</xdr:rowOff>
    </xdr:from>
    <xdr:to>
      <xdr:col>16</xdr:col>
      <xdr:colOff>9751</xdr:colOff>
      <xdr:row>10</xdr:row>
      <xdr:rowOff>76201</xdr:rowOff>
    </xdr:to>
    <xdr:pic>
      <xdr:nvPicPr>
        <xdr:cNvPr id="26" name="Graphic 25" descr="Transfer with solid fill">
          <a:extLst>
            <a:ext uri="{FF2B5EF4-FFF2-40B4-BE49-F238E27FC236}">
              <a16:creationId xmlns:a16="http://schemas.microsoft.com/office/drawing/2014/main" id="{16E914AF-29FE-09B5-C083-AE3DD538EE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63743" y="1480456"/>
          <a:ext cx="499608" cy="446316"/>
        </a:xfrm>
        <a:prstGeom prst="rect">
          <a:avLst/>
        </a:prstGeom>
      </xdr:spPr>
    </xdr:pic>
    <xdr:clientData/>
  </xdr:twoCellAnchor>
  <xdr:twoCellAnchor editAs="oneCell">
    <xdr:from>
      <xdr:col>20</xdr:col>
      <xdr:colOff>163286</xdr:colOff>
      <xdr:row>7</xdr:row>
      <xdr:rowOff>108856</xdr:rowOff>
    </xdr:from>
    <xdr:to>
      <xdr:col>21</xdr:col>
      <xdr:colOff>130629</xdr:colOff>
      <xdr:row>10</xdr:row>
      <xdr:rowOff>130628</xdr:rowOff>
    </xdr:to>
    <xdr:pic>
      <xdr:nvPicPr>
        <xdr:cNvPr id="28" name="Graphic 27" descr="Shopping cart with solid fill">
          <a:extLst>
            <a:ext uri="{FF2B5EF4-FFF2-40B4-BE49-F238E27FC236}">
              <a16:creationId xmlns:a16="http://schemas.microsoft.com/office/drawing/2014/main" id="{B06DAA5B-0037-DA77-1FC6-4144BBC4082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355286" y="1404256"/>
          <a:ext cx="576943" cy="576943"/>
        </a:xfrm>
        <a:prstGeom prst="rect">
          <a:avLst/>
        </a:prstGeom>
      </xdr:spPr>
    </xdr:pic>
    <xdr:clientData/>
  </xdr:twoCellAnchor>
  <xdr:twoCellAnchor>
    <xdr:from>
      <xdr:col>25</xdr:col>
      <xdr:colOff>326573</xdr:colOff>
      <xdr:row>7</xdr:row>
      <xdr:rowOff>32658</xdr:rowOff>
    </xdr:from>
    <xdr:to>
      <xdr:col>26</xdr:col>
      <xdr:colOff>65315</xdr:colOff>
      <xdr:row>11</xdr:row>
      <xdr:rowOff>10885</xdr:rowOff>
    </xdr:to>
    <xdr:sp macro="" textlink="">
      <xdr:nvSpPr>
        <xdr:cNvPr id="5123" name="Text Box 3">
          <a:extLst>
            <a:ext uri="{FF2B5EF4-FFF2-40B4-BE49-F238E27FC236}">
              <a16:creationId xmlns:a16="http://schemas.microsoft.com/office/drawing/2014/main" id="{EDE63D3F-4ACE-F43F-3553-4CABD3975569}"/>
            </a:ext>
          </a:extLst>
        </xdr:cNvPr>
        <xdr:cNvSpPr txBox="1">
          <a:spLocks noChangeArrowheads="1"/>
        </xdr:cNvSpPr>
      </xdr:nvSpPr>
      <xdr:spPr bwMode="auto">
        <a:xfrm>
          <a:off x="15566573" y="1328058"/>
          <a:ext cx="348342" cy="718456"/>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IN" sz="3600" b="1" i="0" u="none" strike="noStrike" baseline="0">
              <a:solidFill>
                <a:srgbClr val="002060"/>
              </a:solidFill>
              <a:latin typeface="Calibri"/>
              <a:cs typeface="Calibri"/>
            </a:rPr>
            <a:t>∑</a:t>
          </a:r>
        </a:p>
      </xdr:txBody>
    </xdr:sp>
    <xdr:clientData/>
  </xdr:twoCellAnchor>
  <xdr:twoCellAnchor>
    <xdr:from>
      <xdr:col>9</xdr:col>
      <xdr:colOff>457199</xdr:colOff>
      <xdr:row>12</xdr:row>
      <xdr:rowOff>174169</xdr:rowOff>
    </xdr:from>
    <xdr:to>
      <xdr:col>20</xdr:col>
      <xdr:colOff>447599</xdr:colOff>
      <xdr:row>28</xdr:row>
      <xdr:rowOff>93255</xdr:rowOff>
    </xdr:to>
    <xdr:graphicFrame macro="">
      <xdr:nvGraphicFramePr>
        <xdr:cNvPr id="34" name="Chart 33">
          <a:extLst>
            <a:ext uri="{FF2B5EF4-FFF2-40B4-BE49-F238E27FC236}">
              <a16:creationId xmlns:a16="http://schemas.microsoft.com/office/drawing/2014/main" id="{B73132EF-AA5B-4104-9CB6-49D51D2E3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555171</xdr:colOff>
      <xdr:row>13</xdr:row>
      <xdr:rowOff>21770</xdr:rowOff>
    </xdr:from>
    <xdr:to>
      <xdr:col>30</xdr:col>
      <xdr:colOff>183171</xdr:colOff>
      <xdr:row>28</xdr:row>
      <xdr:rowOff>17913</xdr:rowOff>
    </xdr:to>
    <xdr:graphicFrame macro="">
      <xdr:nvGraphicFramePr>
        <xdr:cNvPr id="35" name="Chart 34">
          <a:extLst>
            <a:ext uri="{FF2B5EF4-FFF2-40B4-BE49-F238E27FC236}">
              <a16:creationId xmlns:a16="http://schemas.microsoft.com/office/drawing/2014/main" id="{F1D38A0A-3ED1-4041-A19E-4C9279162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435430</xdr:colOff>
      <xdr:row>28</xdr:row>
      <xdr:rowOff>163285</xdr:rowOff>
    </xdr:from>
    <xdr:to>
      <xdr:col>19</xdr:col>
      <xdr:colOff>171430</xdr:colOff>
      <xdr:row>46</xdr:row>
      <xdr:rowOff>108256</xdr:rowOff>
    </xdr:to>
    <xdr:graphicFrame macro="">
      <xdr:nvGraphicFramePr>
        <xdr:cNvPr id="36" name="Chart 35">
          <a:extLst>
            <a:ext uri="{FF2B5EF4-FFF2-40B4-BE49-F238E27FC236}">
              <a16:creationId xmlns:a16="http://schemas.microsoft.com/office/drawing/2014/main" id="{BBC39641-1167-4751-B94D-04719781F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261257</xdr:colOff>
      <xdr:row>28</xdr:row>
      <xdr:rowOff>163283</xdr:rowOff>
    </xdr:from>
    <xdr:to>
      <xdr:col>29</xdr:col>
      <xdr:colOff>357257</xdr:colOff>
      <xdr:row>46</xdr:row>
      <xdr:rowOff>108254</xdr:rowOff>
    </xdr:to>
    <xdr:graphicFrame macro="">
      <xdr:nvGraphicFramePr>
        <xdr:cNvPr id="38" name="Chart 37">
          <a:extLst>
            <a:ext uri="{FF2B5EF4-FFF2-40B4-BE49-F238E27FC236}">
              <a16:creationId xmlns:a16="http://schemas.microsoft.com/office/drawing/2014/main" id="{35586EB0-DFA3-4E53-AA6B-8E403B40D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43544</xdr:colOff>
      <xdr:row>6</xdr:row>
      <xdr:rowOff>165464</xdr:rowOff>
    </xdr:from>
    <xdr:to>
      <xdr:col>9</xdr:col>
      <xdr:colOff>43544</xdr:colOff>
      <xdr:row>16</xdr:row>
      <xdr:rowOff>152401</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B1D74493-A1EB-49E8-814F-457CB40638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01144" y="1275807"/>
              <a:ext cx="1828800" cy="1837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65315</xdr:colOff>
      <xdr:row>28</xdr:row>
      <xdr:rowOff>85634</xdr:rowOff>
    </xdr:from>
    <xdr:to>
      <xdr:col>9</xdr:col>
      <xdr:colOff>65315</xdr:colOff>
      <xdr:row>35</xdr:row>
      <xdr:rowOff>181429</xdr:rowOff>
    </xdr:to>
    <mc:AlternateContent xmlns:mc="http://schemas.openxmlformats.org/markup-compatibility/2006" xmlns:a14="http://schemas.microsoft.com/office/drawing/2010/main">
      <mc:Choice Requires="a14">
        <xdr:graphicFrame macro="">
          <xdr:nvGraphicFramePr>
            <xdr:cNvPr id="40" name="Sales_Channel">
              <a:extLst>
                <a:ext uri="{FF2B5EF4-FFF2-40B4-BE49-F238E27FC236}">
                  <a16:creationId xmlns:a16="http://schemas.microsoft.com/office/drawing/2014/main" id="{708ECF7C-55B3-4840-8E7D-624B301B471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3722915" y="5267234"/>
              <a:ext cx="1828800" cy="1391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50801</xdr:colOff>
      <xdr:row>36</xdr:row>
      <xdr:rowOff>143692</xdr:rowOff>
    </xdr:from>
    <xdr:to>
      <xdr:col>9</xdr:col>
      <xdr:colOff>50801</xdr:colOff>
      <xdr:row>45</xdr:row>
      <xdr:rowOff>0</xdr:rowOff>
    </xdr:to>
    <mc:AlternateContent xmlns:mc="http://schemas.openxmlformats.org/markup-compatibility/2006" xmlns:a14="http://schemas.microsoft.com/office/drawing/2010/main">
      <mc:Choice Requires="a14">
        <xdr:graphicFrame macro="">
          <xdr:nvGraphicFramePr>
            <xdr:cNvPr id="41" name="Status">
              <a:extLst>
                <a:ext uri="{FF2B5EF4-FFF2-40B4-BE49-F238E27FC236}">
                  <a16:creationId xmlns:a16="http://schemas.microsoft.com/office/drawing/2014/main" id="{C37A6287-7A1E-42B0-AFC7-94230DBB1CB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708401" y="6805749"/>
              <a:ext cx="1828800" cy="1521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58058</xdr:colOff>
      <xdr:row>17</xdr:row>
      <xdr:rowOff>114664</xdr:rowOff>
    </xdr:from>
    <xdr:to>
      <xdr:col>9</xdr:col>
      <xdr:colOff>58058</xdr:colOff>
      <xdr:row>27</xdr:row>
      <xdr:rowOff>123371</xdr:rowOff>
    </xdr:to>
    <mc:AlternateContent xmlns:mc="http://schemas.openxmlformats.org/markup-compatibility/2006" xmlns:a14="http://schemas.microsoft.com/office/drawing/2010/main">
      <mc:Choice Requires="a14">
        <xdr:graphicFrame macro="">
          <xdr:nvGraphicFramePr>
            <xdr:cNvPr id="42" name="Category">
              <a:extLst>
                <a:ext uri="{FF2B5EF4-FFF2-40B4-BE49-F238E27FC236}">
                  <a16:creationId xmlns:a16="http://schemas.microsoft.com/office/drawing/2014/main" id="{B2775157-F0B4-4983-B14F-C38AB97371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15658" y="3260635"/>
              <a:ext cx="182880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163286</xdr:colOff>
      <xdr:row>15</xdr:row>
      <xdr:rowOff>119743</xdr:rowOff>
    </xdr:from>
    <xdr:to>
      <xdr:col>4</xdr:col>
      <xdr:colOff>10886</xdr:colOff>
      <xdr:row>18</xdr:row>
      <xdr:rowOff>130628</xdr:rowOff>
    </xdr:to>
    <xdr:sp macro="" textlink="">
      <xdr:nvSpPr>
        <xdr:cNvPr id="44" name="Rectangle: Rounded Corners 43">
          <a:hlinkClick xmlns:r="http://schemas.openxmlformats.org/officeDocument/2006/relationships" r:id="rId13"/>
          <a:extLst>
            <a:ext uri="{FF2B5EF4-FFF2-40B4-BE49-F238E27FC236}">
              <a16:creationId xmlns:a16="http://schemas.microsoft.com/office/drawing/2014/main" id="{8E2E8425-09AA-524E-C9AC-03215222310E}"/>
            </a:ext>
          </a:extLst>
        </xdr:cNvPr>
        <xdr:cNvSpPr/>
      </xdr:nvSpPr>
      <xdr:spPr>
        <a:xfrm>
          <a:off x="772886" y="2895600"/>
          <a:ext cx="1676400" cy="566057"/>
        </a:xfrm>
        <a:prstGeom prst="roundRect">
          <a:avLst/>
        </a:prstGeom>
        <a:solidFill>
          <a:schemeClr val="bg1">
            <a:alpha val="96000"/>
          </a:schemeClr>
        </a:solidFill>
        <a:ln cap="rnd">
          <a:solidFill>
            <a:schemeClr val="accent1">
              <a:shade val="15000"/>
              <a:alpha val="8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    </a:t>
          </a:r>
          <a:r>
            <a:rPr lang="en-IN" sz="1800" b="1">
              <a:solidFill>
                <a:srgbClr val="002060"/>
              </a:solidFill>
            </a:rPr>
            <a:t>DASHBOARD</a:t>
          </a:r>
        </a:p>
      </xdr:txBody>
    </xdr:sp>
    <xdr:clientData/>
  </xdr:twoCellAnchor>
  <xdr:twoCellAnchor>
    <xdr:from>
      <xdr:col>1</xdr:col>
      <xdr:colOff>199208</xdr:colOff>
      <xdr:row>20</xdr:row>
      <xdr:rowOff>0</xdr:rowOff>
    </xdr:from>
    <xdr:to>
      <xdr:col>4</xdr:col>
      <xdr:colOff>46808</xdr:colOff>
      <xdr:row>23</xdr:row>
      <xdr:rowOff>10886</xdr:rowOff>
    </xdr:to>
    <xdr:sp macro="" textlink="">
      <xdr:nvSpPr>
        <xdr:cNvPr id="47" name="Rectangle: Rounded Corners 46">
          <a:hlinkClick xmlns:r="http://schemas.openxmlformats.org/officeDocument/2006/relationships" r:id="rId14"/>
          <a:extLst>
            <a:ext uri="{FF2B5EF4-FFF2-40B4-BE49-F238E27FC236}">
              <a16:creationId xmlns:a16="http://schemas.microsoft.com/office/drawing/2014/main" id="{9AAE66F1-B612-482A-A8F7-392CB24A729C}"/>
            </a:ext>
          </a:extLst>
        </xdr:cNvPr>
        <xdr:cNvSpPr/>
      </xdr:nvSpPr>
      <xdr:spPr>
        <a:xfrm>
          <a:off x="808808" y="3701143"/>
          <a:ext cx="1676400" cy="566057"/>
        </a:xfrm>
        <a:prstGeom prst="roundRect">
          <a:avLst/>
        </a:prstGeom>
        <a:noFill/>
        <a:ln cap="rnd">
          <a:solidFill>
            <a:schemeClr val="bg1">
              <a:alpha val="8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    SUMMARY</a:t>
          </a:r>
        </a:p>
      </xdr:txBody>
    </xdr:sp>
    <xdr:clientData/>
  </xdr:twoCellAnchor>
  <xdr:twoCellAnchor>
    <xdr:from>
      <xdr:col>1</xdr:col>
      <xdr:colOff>210093</xdr:colOff>
      <xdr:row>24</xdr:row>
      <xdr:rowOff>76200</xdr:rowOff>
    </xdr:from>
    <xdr:to>
      <xdr:col>4</xdr:col>
      <xdr:colOff>57693</xdr:colOff>
      <xdr:row>27</xdr:row>
      <xdr:rowOff>87085</xdr:rowOff>
    </xdr:to>
    <xdr:sp macro="" textlink="">
      <xdr:nvSpPr>
        <xdr:cNvPr id="49" name="Rectangle: Rounded Corners 48">
          <a:hlinkClick xmlns:r="http://schemas.openxmlformats.org/officeDocument/2006/relationships" r:id="rId15"/>
          <a:extLst>
            <a:ext uri="{FF2B5EF4-FFF2-40B4-BE49-F238E27FC236}">
              <a16:creationId xmlns:a16="http://schemas.microsoft.com/office/drawing/2014/main" id="{1428142A-D910-40D3-86FF-18D214876203}"/>
            </a:ext>
          </a:extLst>
        </xdr:cNvPr>
        <xdr:cNvSpPr/>
      </xdr:nvSpPr>
      <xdr:spPr>
        <a:xfrm>
          <a:off x="819693" y="4517571"/>
          <a:ext cx="1676400" cy="566057"/>
        </a:xfrm>
        <a:prstGeom prst="roundRect">
          <a:avLst/>
        </a:prstGeom>
        <a:noFill/>
        <a:ln cap="rnd">
          <a:solidFill>
            <a:schemeClr val="bg1">
              <a:alpha val="84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    DATA</a:t>
          </a:r>
        </a:p>
      </xdr:txBody>
    </xdr:sp>
    <xdr:clientData/>
  </xdr:twoCellAnchor>
  <xdr:twoCellAnchor editAs="oneCell">
    <xdr:from>
      <xdr:col>11</xdr:col>
      <xdr:colOff>435428</xdr:colOff>
      <xdr:row>0</xdr:row>
      <xdr:rowOff>0</xdr:rowOff>
    </xdr:from>
    <xdr:to>
      <xdr:col>12</xdr:col>
      <xdr:colOff>435429</xdr:colOff>
      <xdr:row>3</xdr:row>
      <xdr:rowOff>54430</xdr:rowOff>
    </xdr:to>
    <xdr:pic>
      <xdr:nvPicPr>
        <xdr:cNvPr id="53" name="Graphic 52" descr="Presentation with bar chart with solid fill">
          <a:extLst>
            <a:ext uri="{FF2B5EF4-FFF2-40B4-BE49-F238E27FC236}">
              <a16:creationId xmlns:a16="http://schemas.microsoft.com/office/drawing/2014/main" id="{E80026F0-B49C-BA56-B928-F7CC54C03D4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141028" y="0"/>
          <a:ext cx="609601" cy="609601"/>
        </a:xfrm>
        <a:prstGeom prst="rect">
          <a:avLst/>
        </a:prstGeom>
      </xdr:spPr>
    </xdr:pic>
    <xdr:clientData/>
  </xdr:twoCellAnchor>
  <xdr:twoCellAnchor editAs="oneCell">
    <xdr:from>
      <xdr:col>24</xdr:col>
      <xdr:colOff>228599</xdr:colOff>
      <xdr:row>0</xdr:row>
      <xdr:rowOff>10885</xdr:rowOff>
    </xdr:from>
    <xdr:to>
      <xdr:col>25</xdr:col>
      <xdr:colOff>272142</xdr:colOff>
      <xdr:row>3</xdr:row>
      <xdr:rowOff>108857</xdr:rowOff>
    </xdr:to>
    <xdr:pic>
      <xdr:nvPicPr>
        <xdr:cNvPr id="55" name="Graphic 54" descr="Laptop with solid fill">
          <a:extLst>
            <a:ext uri="{FF2B5EF4-FFF2-40B4-BE49-F238E27FC236}">
              <a16:creationId xmlns:a16="http://schemas.microsoft.com/office/drawing/2014/main" id="{03F58E89-80C0-1EC7-B31B-8B25360C09F2}"/>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4858999" y="10885"/>
          <a:ext cx="653143" cy="653143"/>
        </a:xfrm>
        <a:prstGeom prst="rect">
          <a:avLst/>
        </a:prstGeom>
      </xdr:spPr>
    </xdr:pic>
    <xdr:clientData/>
  </xdr:twoCellAnchor>
  <xdr:twoCellAnchor>
    <xdr:from>
      <xdr:col>11</xdr:col>
      <xdr:colOff>163286</xdr:colOff>
      <xdr:row>8</xdr:row>
      <xdr:rowOff>119743</xdr:rowOff>
    </xdr:from>
    <xdr:to>
      <xdr:col>14</xdr:col>
      <xdr:colOff>326571</xdr:colOff>
      <xdr:row>10</xdr:row>
      <xdr:rowOff>119744</xdr:rowOff>
    </xdr:to>
    <xdr:sp macro="" textlink="Sheet1!I84">
      <xdr:nvSpPr>
        <xdr:cNvPr id="2" name="TextBox 1">
          <a:extLst>
            <a:ext uri="{FF2B5EF4-FFF2-40B4-BE49-F238E27FC236}">
              <a16:creationId xmlns:a16="http://schemas.microsoft.com/office/drawing/2014/main" id="{4C7AC6A1-20AC-E255-F3B2-F238809A5053}"/>
            </a:ext>
          </a:extLst>
        </xdr:cNvPr>
        <xdr:cNvSpPr txBox="1"/>
      </xdr:nvSpPr>
      <xdr:spPr>
        <a:xfrm>
          <a:off x="6868886" y="1600200"/>
          <a:ext cx="1992085" cy="3701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DC9BCF-0D61-4FEF-9334-1B66C5FBDE3F}" type="TxLink">
            <a:rPr lang="en-US" sz="2400" b="0" i="0" u="none" strike="noStrike">
              <a:solidFill>
                <a:schemeClr val="accent1">
                  <a:lumMod val="75000"/>
                </a:schemeClr>
              </a:solidFill>
              <a:latin typeface="Calibri"/>
              <a:cs typeface="Calibri"/>
            </a:rPr>
            <a:pPr/>
            <a:t>1594263.8</a:t>
          </a:fld>
          <a:endParaRPr lang="en-IN" sz="2400">
            <a:solidFill>
              <a:schemeClr val="accent1">
                <a:lumMod val="75000"/>
              </a:schemeClr>
            </a:solidFill>
          </a:endParaRPr>
        </a:p>
      </xdr:txBody>
    </xdr:sp>
    <xdr:clientData/>
  </xdr:twoCellAnchor>
  <xdr:twoCellAnchor>
    <xdr:from>
      <xdr:col>17</xdr:col>
      <xdr:colOff>65314</xdr:colOff>
      <xdr:row>8</xdr:row>
      <xdr:rowOff>87084</xdr:rowOff>
    </xdr:from>
    <xdr:to>
      <xdr:col>18</xdr:col>
      <xdr:colOff>304800</xdr:colOff>
      <xdr:row>11</xdr:row>
      <xdr:rowOff>185055</xdr:rowOff>
    </xdr:to>
    <xdr:sp macro="" textlink="Sheet1!I88">
      <xdr:nvSpPr>
        <xdr:cNvPr id="5" name="TextBox 4">
          <a:extLst>
            <a:ext uri="{FF2B5EF4-FFF2-40B4-BE49-F238E27FC236}">
              <a16:creationId xmlns:a16="http://schemas.microsoft.com/office/drawing/2014/main" id="{C1C4428D-C58C-BA6E-2A8C-843798FF546D}"/>
            </a:ext>
          </a:extLst>
        </xdr:cNvPr>
        <xdr:cNvSpPr txBox="1"/>
      </xdr:nvSpPr>
      <xdr:spPr>
        <a:xfrm>
          <a:off x="10428514" y="1567541"/>
          <a:ext cx="849086" cy="653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D17DD4-5D1F-4CB9-AA71-B744B96474F6}" type="TxLink">
            <a:rPr lang="en-US" sz="2400" b="0" i="0" u="none" strike="noStrike">
              <a:solidFill>
                <a:schemeClr val="accent1">
                  <a:lumMod val="75000"/>
                </a:schemeClr>
              </a:solidFill>
              <a:latin typeface="Calibri"/>
              <a:cs typeface="Calibri"/>
            </a:rPr>
            <a:pPr/>
            <a:t>73</a:t>
          </a:fld>
          <a:endParaRPr lang="en-IN" sz="2400">
            <a:solidFill>
              <a:schemeClr val="accent1">
                <a:lumMod val="75000"/>
              </a:schemeClr>
            </a:solidFill>
          </a:endParaRPr>
        </a:p>
      </xdr:txBody>
    </xdr:sp>
    <xdr:clientData/>
  </xdr:twoCellAnchor>
  <xdr:twoCellAnchor>
    <xdr:from>
      <xdr:col>21</xdr:col>
      <xdr:colOff>522514</xdr:colOff>
      <xdr:row>8</xdr:row>
      <xdr:rowOff>108857</xdr:rowOff>
    </xdr:from>
    <xdr:to>
      <xdr:col>24</xdr:col>
      <xdr:colOff>97972</xdr:colOff>
      <xdr:row>11</xdr:row>
      <xdr:rowOff>43542</xdr:rowOff>
    </xdr:to>
    <xdr:sp macro="" textlink="Sheet1!I86">
      <xdr:nvSpPr>
        <xdr:cNvPr id="9" name="TextBox 8">
          <a:extLst>
            <a:ext uri="{FF2B5EF4-FFF2-40B4-BE49-F238E27FC236}">
              <a16:creationId xmlns:a16="http://schemas.microsoft.com/office/drawing/2014/main" id="{C873D63E-7B06-DF59-931D-E69CEDB77F48}"/>
            </a:ext>
          </a:extLst>
        </xdr:cNvPr>
        <xdr:cNvSpPr txBox="1"/>
      </xdr:nvSpPr>
      <xdr:spPr>
        <a:xfrm>
          <a:off x="13324114" y="1589314"/>
          <a:ext cx="1404258" cy="4898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5920A6-9674-45FC-B20E-A50DBCAE5B68}" type="TxLink">
            <a:rPr lang="en-US" sz="2400" b="0" i="0" u="none" strike="noStrike">
              <a:solidFill>
                <a:schemeClr val="accent1">
                  <a:lumMod val="75000"/>
                </a:schemeClr>
              </a:solidFill>
              <a:latin typeface="Calibri"/>
              <a:cs typeface="Calibri"/>
            </a:rPr>
            <a:pPr/>
            <a:t>21570.93151</a:t>
          </a:fld>
          <a:endParaRPr lang="en-IN" sz="2400">
            <a:solidFill>
              <a:schemeClr val="accent1">
                <a:lumMod val="75000"/>
              </a:schemeClr>
            </a:solidFill>
          </a:endParaRPr>
        </a:p>
      </xdr:txBody>
    </xdr:sp>
    <xdr:clientData/>
  </xdr:twoCellAnchor>
  <xdr:twoCellAnchor>
    <xdr:from>
      <xdr:col>27</xdr:col>
      <xdr:colOff>119743</xdr:colOff>
      <xdr:row>8</xdr:row>
      <xdr:rowOff>97972</xdr:rowOff>
    </xdr:from>
    <xdr:to>
      <xdr:col>29</xdr:col>
      <xdr:colOff>522514</xdr:colOff>
      <xdr:row>11</xdr:row>
      <xdr:rowOff>65314</xdr:rowOff>
    </xdr:to>
    <xdr:sp macro="" textlink="Sheet1!I82">
      <xdr:nvSpPr>
        <xdr:cNvPr id="14" name="TextBox 13">
          <a:extLst>
            <a:ext uri="{FF2B5EF4-FFF2-40B4-BE49-F238E27FC236}">
              <a16:creationId xmlns:a16="http://schemas.microsoft.com/office/drawing/2014/main" id="{B94B8BCD-B255-E7CB-07A0-CD6E0BFF1B02}"/>
            </a:ext>
          </a:extLst>
        </xdr:cNvPr>
        <xdr:cNvSpPr txBox="1"/>
      </xdr:nvSpPr>
      <xdr:spPr>
        <a:xfrm>
          <a:off x="16578943" y="1578429"/>
          <a:ext cx="1621971" cy="522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BFBED2-F783-4148-98C2-7C5A193399E1}" type="TxLink">
            <a:rPr lang="en-US" sz="2400" b="0" i="0" u="none" strike="noStrike">
              <a:solidFill>
                <a:schemeClr val="accent1">
                  <a:lumMod val="75000"/>
                </a:schemeClr>
              </a:solidFill>
              <a:latin typeface="Calibri"/>
              <a:cs typeface="Calibri"/>
            </a:rPr>
            <a:pPr/>
            <a:t>592</a:t>
          </a:fld>
          <a:endParaRPr lang="en-IN" sz="2400">
            <a:solidFill>
              <a:schemeClr val="accent1">
                <a:lumMod val="75000"/>
              </a:schemeClr>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836991203701" backgroundQuery="1" createdVersion="8" refreshedVersion="8" minRefreshableVersion="3" recordCount="0" supportSubquery="1" supportAdvancedDrill="1" xr:uid="{B3251D9B-02F3-431D-BA64-971F75E7274C}">
  <cacheSource type="external" connectionId="1"/>
  <cacheFields count="3">
    <cacheField name="[Table1].[Product].[Product]" caption="Product" numFmtId="0" hierarchy="6" level="1">
      <sharedItems count="10">
        <s v="Camera"/>
        <s v="Laptop"/>
        <s v="Monitor"/>
        <s v="Printer"/>
        <s v="Projector"/>
        <s v="Refrigerator"/>
        <s v="Smartphone"/>
        <s v="Smartwatch"/>
        <s v="Tablet"/>
        <s v="Washing Machine"/>
      </sharedItems>
    </cacheField>
    <cacheField name="[Measures].[Sum of Net Sales]" caption="Sum of Net Sales" numFmtId="0" hierarchy="31" level="32767"/>
    <cacheField name="[Table1].[Category].[Category]" caption="Category" numFmtId="0" hierarchy="5" level="1">
      <sharedItems containsSemiMixedTypes="0" containsNonDate="0" containsString="0"/>
    </cacheField>
  </cacheFields>
  <cacheHierarchies count="32">
    <cacheHierarchy uniqueName="[Table1].[Transaction_ID]" caption="Transaction_ID" attribute="1" defaultMemberUniqueName="[Table1].[Transaction_ID].[All]" allUniqueName="[Table1].[Transaction_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_Price_INR]" caption="Unit_Price_INR" attribute="1" defaultMemberUniqueName="[Table1].[Unit_Price_INR].[All]" allUniqueName="[Table1].[Unit_Price_INR].[All]" dimensionUniqueName="[Table1]" displayFolder="" count="2" memberValueDatatype="20" unbalanced="0"/>
    <cacheHierarchy uniqueName="[Table1].[Discount_Rate]" caption="Discount_Rate" attribute="1" defaultMemberUniqueName="[Table1].[Discount_Rate].[All]" allUniqueName="[Table1].[Discount_Rate].[All]" dimensionUniqueName="[Table1]" displayFolder="" count="2" memberValueDatatype="5"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Sales_Rep_ID]" caption="Sales_Rep_ID" attribute="1" defaultMemberUniqueName="[Table1].[Sales_Rep_ID].[All]" allUniqueName="[Table1].[Sales_Rep_ID].[All]" dimensionUniqueName="[Table1]" displayFolder="" count="2" memberValueDatatype="130" unbalanced="0"/>
    <cacheHierarchy uniqueName="[Table1].[Grow Sales]" caption="Grow Sales" attribute="1" defaultMemberUniqueName="[Table1].[Grow Sales].[All]" allUniqueName="[Table1].[Grow Sales].[All]" dimensionUniqueName="[Table1]" displayFolder="" count="2" memberValueDatatype="20" unbalanced="0"/>
    <cacheHierarchy uniqueName="[Table1].[Discount Amount]" caption="Discount Amount" attribute="1" defaultMemberUniqueName="[Table1].[Discount Amount].[All]" allUniqueName="[Table1].[Discount Amount].[All]" dimensionUniqueName="[Table1]" displayFolder="" count="2" memberValueDatatype="5" unbalanced="0"/>
    <cacheHierarchy uniqueName="[Table1].[Net Sales]" caption="Net Sales" attribute="1" defaultMemberUniqueName="[Table1].[Net Sales].[All]" allUniqueName="[Table1].[Net Sales].[All]" dimensionUniqueName="[Table1]" displayFolder="" count="2" memberValueDatatype="5" unbalanced="0"/>
    <cacheHierarchy uniqueName="[Table1].[Transaction Month]" caption="Transaction Month" attribute="1" defaultMemberUniqueName="[Table1].[Transaction Month].[All]" allUniqueName="[Table1].[Transaction Month].[All]" dimensionUniqueName="[Table1]" displayFolder="" count="2" memberValueDatatype="130" unbalanced="0"/>
    <cacheHierarchy uniqueName="[Table1].[Transaction Flag]" caption="Transaction Flag" attribute="1" defaultMemberUniqueName="[Table1].[Transaction Flag].[All]" allUniqueName="[Table1].[Transaction Flag].[All]" dimensionUniqueName="[Table1]" displayFolder="" count="2" memberValueDatatype="130" unbalanced="0"/>
    <cacheHierarchy uniqueName="[Table1].[Netsale Classification]" caption="Netsale Classification" attribute="1" defaultMemberUniqueName="[Table1].[Netsale Classification].[All]" allUniqueName="[Table1].[Netsale Classification].[All]" dimensionUniqueName="[Table1]" displayFolder="" count="2" memberValueDatatype="130" unbalanced="0"/>
    <cacheHierarchy uniqueName="[Table1].[Quantity&amp;Discount Flag]" caption="Quantity&amp;Discount Flag" attribute="1" defaultMemberUniqueName="[Table1].[Quantity&amp;Discount Flag].[All]" allUniqueName="[Table1].[Quantity&amp;Discount Flag].[All]" dimensionUniqueName="[Table1]" displayFolder="" count="2" memberValueDatatype="130" unbalanced="0"/>
    <cacheHierarchy uniqueName="[Table1].[Cash OR UPI]" caption="Cash OR UPI" attribute="1" defaultMemberUniqueName="[Table1].[Cash OR UPI].[All]" allUniqueName="[Table1].[Cash OR UPI].[All]" dimensionUniqueName="[Table1]" displayFolder="" count="2" memberValueDatatype="130" unbalanced="0"/>
    <cacheHierarchy uniqueName="[Table1].[Price per unit(IFERROR)]" caption="Price per unit(IFERROR)" attribute="1" defaultMemberUniqueName="[Table1].[Price per unit(IFERROR)].[All]" allUniqueName="[Table1].[Price per unit(IFERROR)].[All]" dimensionUniqueName="[Table1]" displayFolder="" count="2" memberValueDatatype="130" unbalanced="0"/>
    <cacheHierarchy uniqueName="[Table1].[cleaned customer name]" caption="cleaned customer name" attribute="1" defaultMemberUniqueName="[Table1].[cleaned customer name].[All]" allUniqueName="[Table1].[cleaned customer name].[All]" dimensionUniqueName="[Table1]" displayFolder="" count="2" memberValueDatatype="130" unbalanced="0"/>
    <cacheHierarchy uniqueName="[Table1].[Standardized Regions]" caption="Standardized Regions" attribute="1" defaultMemberUniqueName="[Table1].[Standardized Regions].[All]" allUniqueName="[Table1].[Standardized Regions].[All]" dimensionUniqueName="[Table1]" displayFolder="" count="2" memberValueDatatype="130" unbalanced="0"/>
    <cacheHierarchy uniqueName="[Table1].[Extract year&amp;month]" caption="Extract year&amp;month" attribute="1" defaultMemberUniqueName="[Table1].[Extract year&amp;month].[All]" allUniqueName="[Table1].[Extract year&amp;month].[All]" dimensionUniqueName="[Table1]" displayFolder="" count="2" memberValueDatatype="130" unbalanced="0"/>
    <cacheHierarchy uniqueName="[Table1].[MID-numeric from Trans.ID]" caption="MID-numeric from Trans.ID" attribute="1" defaultMemberUniqueName="[Table1].[MID-numeric from Trans.ID].[All]" allUniqueName="[Table1].[MID-numeric from Trans.ID].[All]" dimensionUniqueName="[Table1]" displayFolder="" count="2" memberValueDatatype="130" unbalanced="0"/>
    <cacheHierarchy uniqueName="[Table1].[combine region&amp;category]" caption="combine region&amp;category" attribute="1" defaultMemberUniqueName="[Table1].[combine region&amp;category].[All]" allUniqueName="[Table1].[combine region&amp;category].[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836991898148" backgroundQuery="1" createdVersion="8" refreshedVersion="8" minRefreshableVersion="3" recordCount="0" supportSubquery="1" supportAdvancedDrill="1" xr:uid="{2D14B824-D974-4134-8775-D796EB4E537D}">
  <cacheSource type="external" connectionId="1"/>
  <cacheFields count="3">
    <cacheField name="[Table1].[Region].[Region]" caption="Region" numFmtId="0" hierarchy="2" level="1">
      <sharedItems count="5">
        <s v=" north"/>
        <s v="East"/>
        <s v="North"/>
        <s v="South"/>
        <s v="West"/>
      </sharedItems>
    </cacheField>
    <cacheField name="[Measures].[Sum of Net Sales]" caption="Sum of Net Sales" numFmtId="0" hierarchy="31" level="32767"/>
    <cacheField name="[Table1].[Category].[Category]" caption="Category" numFmtId="0" hierarchy="5" level="1">
      <sharedItems containsSemiMixedTypes="0" containsNonDate="0" containsString="0"/>
    </cacheField>
  </cacheFields>
  <cacheHierarchies count="32">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Sales_Rep_ID]" caption="Sales_Rep_ID" attribute="1" defaultMemberUniqueName="[Table1].[Sales_Rep_ID].[All]" allUniqueName="[Table1].[Sales_Rep_ID].[All]" dimensionUniqueName="[Table1]" displayFolder="" count="0" memberValueDatatype="130" unbalanced="0"/>
    <cacheHierarchy uniqueName="[Table1].[Grow Sales]" caption="Grow Sales" attribute="1" defaultMemberUniqueName="[Table1].[Grow Sales].[All]" allUniqueName="[Table1].[Grow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Transaction Month]" caption="Transaction Month" attribute="1" defaultMemberUniqueName="[Table1].[Transaction Month].[All]" allUniqueName="[Table1].[Transaction Month].[All]" dimensionUniqueName="[Table1]" displayFolder="" count="0" memberValueDatatype="130" unbalanced="0"/>
    <cacheHierarchy uniqueName="[Table1].[Transaction Flag]" caption="Transaction Flag" attribute="1" defaultMemberUniqueName="[Table1].[Transaction Flag].[All]" allUniqueName="[Table1].[Transaction Flag].[All]" dimensionUniqueName="[Table1]" displayFolder="" count="0" memberValueDatatype="130" unbalanced="0"/>
    <cacheHierarchy uniqueName="[Table1].[Netsale Classification]" caption="Netsale Classification" attribute="1" defaultMemberUniqueName="[Table1].[Netsale Classification].[All]" allUniqueName="[Table1].[Netsale Classification].[All]" dimensionUniqueName="[Table1]" displayFolder="" count="0" memberValueDatatype="130" unbalanced="0"/>
    <cacheHierarchy uniqueName="[Table1].[Quantity&amp;Discount Flag]" caption="Quantity&amp;Discount Flag" attribute="1" defaultMemberUniqueName="[Table1].[Quantity&amp;Discount Flag].[All]" allUniqueName="[Table1].[Quantity&amp;Discount Flag].[All]" dimensionUniqueName="[Table1]" displayFolder="" count="0" memberValueDatatype="130" unbalanced="0"/>
    <cacheHierarchy uniqueName="[Table1].[Cash OR UPI]" caption="Cash OR UPI" attribute="1" defaultMemberUniqueName="[Table1].[Cash OR UPI].[All]" allUniqueName="[Table1].[Cash OR UPI].[All]" dimensionUniqueName="[Table1]" displayFolder="" count="0" memberValueDatatype="130" unbalanced="0"/>
    <cacheHierarchy uniqueName="[Table1].[Price per unit(IFERROR)]" caption="Price per unit(IFERROR)" attribute="1" defaultMemberUniqueName="[Table1].[Price per unit(IFERROR)].[All]" allUniqueName="[Table1].[Price per unit(IFERROR)].[All]" dimensionUniqueName="[Table1]" displayFolder="" count="0" memberValueDatatype="130" unbalanced="0"/>
    <cacheHierarchy uniqueName="[Table1].[cleaned customer name]" caption="cleaned customer name" attribute="1" defaultMemberUniqueName="[Table1].[cleaned customer name].[All]" allUniqueName="[Table1].[cleaned customer name].[All]" dimensionUniqueName="[Table1]" displayFolder="" count="0" memberValueDatatype="130" unbalanced="0"/>
    <cacheHierarchy uniqueName="[Table1].[Standardized Regions]" caption="Standardized Regions" attribute="1" defaultMemberUniqueName="[Table1].[Standardized Regions].[All]" allUniqueName="[Table1].[Standardized Regions].[All]" dimensionUniqueName="[Table1]" displayFolder="" count="0" memberValueDatatype="130" unbalanced="0"/>
    <cacheHierarchy uniqueName="[Table1].[Extract year&amp;month]" caption="Extract year&amp;month" attribute="1" defaultMemberUniqueName="[Table1].[Extract year&amp;month].[All]" allUniqueName="[Table1].[Extract year&amp;month].[All]" dimensionUniqueName="[Table1]" displayFolder="" count="0" memberValueDatatype="130" unbalanced="0"/>
    <cacheHierarchy uniqueName="[Table1].[MID-numeric from Trans.ID]" caption="MID-numeric from Trans.ID" attribute="1" defaultMemberUniqueName="[Table1].[MID-numeric from Trans.ID].[All]" allUniqueName="[Table1].[MID-numeric from Trans.ID].[All]" dimensionUniqueName="[Table1]" displayFolder="" count="0" memberValueDatatype="130" unbalanced="0"/>
    <cacheHierarchy uniqueName="[Table1].[combine region&amp;category]" caption="combine region&amp;category" attribute="1" defaultMemberUniqueName="[Table1].[combine region&amp;category].[All]" allUniqueName="[Table1].[combine region&amp;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836992476849" backgroundQuery="1" createdVersion="8" refreshedVersion="8" minRefreshableVersion="3" recordCount="0" supportSubquery="1" supportAdvancedDrill="1" xr:uid="{EDC64585-A015-40CA-9307-CD09D2716A22}">
  <cacheSource type="external" connectionId="1"/>
  <cacheFields count="3">
    <cacheField name="[Measures].[Sum of Net Sales]" caption="Sum of Net Sales" numFmtId="0" hierarchy="31" level="32767"/>
    <cacheField name="[Table1].[Status].[Status]" caption="Status" numFmtId="0" hierarchy="11" level="1">
      <sharedItems count="4">
        <s v="Cancelled"/>
        <s v="Completed"/>
        <s v="Pending"/>
        <s v="Refunded"/>
      </sharedItems>
    </cacheField>
    <cacheField name="[Table1].[Category].[Category]" caption="Category" numFmtId="0" hierarchy="5" level="1">
      <sharedItems containsSemiMixedTypes="0" containsNonDate="0" containsString="0"/>
    </cacheField>
  </cacheFields>
  <cacheHierarchies count="32">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Sales_Rep_ID]" caption="Sales_Rep_ID" attribute="1" defaultMemberUniqueName="[Table1].[Sales_Rep_ID].[All]" allUniqueName="[Table1].[Sales_Rep_ID].[All]" dimensionUniqueName="[Table1]" displayFolder="" count="0" memberValueDatatype="130" unbalanced="0"/>
    <cacheHierarchy uniqueName="[Table1].[Grow Sales]" caption="Grow Sales" attribute="1" defaultMemberUniqueName="[Table1].[Grow Sales].[All]" allUniqueName="[Table1].[Grow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Transaction Month]" caption="Transaction Month" attribute="1" defaultMemberUniqueName="[Table1].[Transaction Month].[All]" allUniqueName="[Table1].[Transaction Month].[All]" dimensionUniqueName="[Table1]" displayFolder="" count="0" memberValueDatatype="130" unbalanced="0"/>
    <cacheHierarchy uniqueName="[Table1].[Transaction Flag]" caption="Transaction Flag" attribute="1" defaultMemberUniqueName="[Table1].[Transaction Flag].[All]" allUniqueName="[Table1].[Transaction Flag].[All]" dimensionUniqueName="[Table1]" displayFolder="" count="0" memberValueDatatype="130" unbalanced="0"/>
    <cacheHierarchy uniqueName="[Table1].[Netsale Classification]" caption="Netsale Classification" attribute="1" defaultMemberUniqueName="[Table1].[Netsale Classification].[All]" allUniqueName="[Table1].[Netsale Classification].[All]" dimensionUniqueName="[Table1]" displayFolder="" count="0" memberValueDatatype="130" unbalanced="0"/>
    <cacheHierarchy uniqueName="[Table1].[Quantity&amp;Discount Flag]" caption="Quantity&amp;Discount Flag" attribute="1" defaultMemberUniqueName="[Table1].[Quantity&amp;Discount Flag].[All]" allUniqueName="[Table1].[Quantity&amp;Discount Flag].[All]" dimensionUniqueName="[Table1]" displayFolder="" count="0" memberValueDatatype="130" unbalanced="0"/>
    <cacheHierarchy uniqueName="[Table1].[Cash OR UPI]" caption="Cash OR UPI" attribute="1" defaultMemberUniqueName="[Table1].[Cash OR UPI].[All]" allUniqueName="[Table1].[Cash OR UPI].[All]" dimensionUniqueName="[Table1]" displayFolder="" count="0" memberValueDatatype="130" unbalanced="0"/>
    <cacheHierarchy uniqueName="[Table1].[Price per unit(IFERROR)]" caption="Price per unit(IFERROR)" attribute="1" defaultMemberUniqueName="[Table1].[Price per unit(IFERROR)].[All]" allUniqueName="[Table1].[Price per unit(IFERROR)].[All]" dimensionUniqueName="[Table1]" displayFolder="" count="0" memberValueDatatype="130" unbalanced="0"/>
    <cacheHierarchy uniqueName="[Table1].[cleaned customer name]" caption="cleaned customer name" attribute="1" defaultMemberUniqueName="[Table1].[cleaned customer name].[All]" allUniqueName="[Table1].[cleaned customer name].[All]" dimensionUniqueName="[Table1]" displayFolder="" count="0" memberValueDatatype="130" unbalanced="0"/>
    <cacheHierarchy uniqueName="[Table1].[Standardized Regions]" caption="Standardized Regions" attribute="1" defaultMemberUniqueName="[Table1].[Standardized Regions].[All]" allUniqueName="[Table1].[Standardized Regions].[All]" dimensionUniqueName="[Table1]" displayFolder="" count="0" memberValueDatatype="130" unbalanced="0"/>
    <cacheHierarchy uniqueName="[Table1].[Extract year&amp;month]" caption="Extract year&amp;month" attribute="1" defaultMemberUniqueName="[Table1].[Extract year&amp;month].[All]" allUniqueName="[Table1].[Extract year&amp;month].[All]" dimensionUniqueName="[Table1]" displayFolder="" count="0" memberValueDatatype="130" unbalanced="0"/>
    <cacheHierarchy uniqueName="[Table1].[MID-numeric from Trans.ID]" caption="MID-numeric from Trans.ID" attribute="1" defaultMemberUniqueName="[Table1].[MID-numeric from Trans.ID].[All]" allUniqueName="[Table1].[MID-numeric from Trans.ID].[All]" dimensionUniqueName="[Table1]" displayFolder="" count="0" memberValueDatatype="130" unbalanced="0"/>
    <cacheHierarchy uniqueName="[Table1].[combine region&amp;category]" caption="combine region&amp;category" attribute="1" defaultMemberUniqueName="[Table1].[combine region&amp;category].[All]" allUniqueName="[Table1].[combine region&amp;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836993055556" backgroundQuery="1" createdVersion="8" refreshedVersion="8" minRefreshableVersion="3" recordCount="0" supportSubquery="1" supportAdvancedDrill="1" xr:uid="{F5107448-8A6B-4BD3-A2DA-1D28A380E413}">
  <cacheSource type="external" connectionId="1"/>
  <cacheFields count="4">
    <cacheField name="[Table1].[Date].[Date]" caption="Date" numFmtId="0" hierarchy="1" level="1">
      <sharedItems containsSemiMixedTypes="0" containsNonDate="0" containsDate="1" containsString="0" minDate="2026-01-03T00:00:00" maxDate="2026-05-31T00:00:00" count="76">
        <d v="2026-01-03T00:00:00"/>
        <d v="2026-01-04T00:00:00"/>
        <d v="2026-01-05T00:00:00"/>
        <d v="2026-01-06T00:00:00"/>
        <d v="2026-01-07T00:00:00"/>
        <d v="2026-01-09T00:00:00"/>
        <d v="2026-01-10T00:00:00"/>
        <d v="2026-01-11T00:00:00"/>
        <d v="2026-01-12T00:00:00"/>
        <d v="2026-01-14T00:00:00"/>
        <d v="2026-01-15T00:00:00"/>
        <d v="2026-01-17T00:00:00"/>
        <d v="2026-01-19T00:00:00"/>
        <d v="2026-01-21T00:00:00"/>
        <d v="2026-01-23T00:00:00"/>
        <d v="2026-01-25T00:00:00"/>
        <d v="2026-01-27T00:00:00"/>
        <d v="2026-01-29T00:00:00"/>
        <d v="2026-02-02T00:00:00"/>
        <d v="2026-02-03T00:00:00"/>
        <d v="2026-02-05T00:00:00"/>
        <d v="2026-02-07T00:00:00"/>
        <d v="2026-02-08T00:00:00"/>
        <d v="2026-02-10T00:00:00"/>
        <d v="2026-02-12T00:00:00"/>
        <d v="2026-02-14T00:00:00"/>
        <d v="2026-02-16T00:00:00"/>
        <d v="2026-02-18T00:00:00"/>
        <d v="2026-02-20T00:00:00"/>
        <d v="2026-02-22T00:00:00"/>
        <d v="2026-03-01T00:00:00"/>
        <d v="2026-03-03T00:00:00"/>
        <d v="2026-03-04T00:00:00"/>
        <d v="2026-03-06T00:00:00"/>
        <d v="2026-03-08T00:00:00"/>
        <d v="2026-03-10T00:00:00"/>
        <d v="2026-03-12T00:00:00"/>
        <d v="2026-03-14T00:00:00"/>
        <d v="2026-03-17T00:00:00"/>
        <d v="2026-03-19T00:00:00"/>
        <d v="2026-03-21T00:00:00"/>
        <d v="2026-03-23T00:00:00"/>
        <d v="2026-03-25T00:00:00"/>
        <d v="2026-03-27T00:00:00"/>
        <d v="2026-03-29T00:00:00"/>
        <d v="2026-04-02T00:00:00"/>
        <d v="2026-04-04T00:00:00"/>
        <d v="2026-04-06T00:00:00"/>
        <d v="2026-04-08T00:00:00"/>
        <d v="2026-04-10T00:00:00"/>
        <d v="2026-04-12T00:00:00"/>
        <d v="2026-04-14T00:00:00"/>
        <d v="2026-04-16T00:00:00"/>
        <d v="2026-04-18T00:00:00"/>
        <d v="2026-04-20T00:00:00"/>
        <d v="2026-04-22T00:00:00"/>
        <d v="2026-04-24T00:00:00"/>
        <d v="2026-04-26T00:00:00"/>
        <d v="2026-04-28T00:00:00"/>
        <d v="2026-04-30T00:00:00"/>
        <d v="2026-05-02T00:00:00"/>
        <d v="2026-05-03T00:00:00"/>
        <d v="2026-05-05T00:00:00"/>
        <d v="2026-05-07T00:00:00"/>
        <d v="2026-05-09T00:00:00"/>
        <d v="2026-05-10T00:00:00"/>
        <d v="2026-05-12T00:00:00"/>
        <d v="2026-05-14T00:00:00"/>
        <d v="2026-05-16T00:00:00"/>
        <d v="2026-05-18T00:00:00"/>
        <d v="2026-05-20T00:00:00"/>
        <d v="2026-05-22T00:00:00"/>
        <d v="2026-05-24T00:00:00"/>
        <d v="2026-05-26T00:00:00"/>
        <d v="2026-05-28T00:00:00"/>
        <d v="2026-05-30T00:00:00"/>
      </sharedItems>
    </cacheField>
    <cacheField name="[Table1].[Date (Month)].[Date (Month)]" caption="Date (Month)" numFmtId="0" hierarchy="27" level="1">
      <sharedItems count="5">
        <s v="Jan"/>
        <s v="Feb"/>
        <s v="Mar"/>
        <s v="Apr"/>
        <s v="May"/>
      </sharedItems>
    </cacheField>
    <cacheField name="[Measures].[Sum of Net Sales]" caption="Sum of Net Sales" numFmtId="0" hierarchy="31" level="32767"/>
    <cacheField name="[Table1].[Category].[Category]" caption="Category" numFmtId="0" hierarchy="5" level="1">
      <sharedItems containsSemiMixedTypes="0" containsNonDate="0" containsString="0"/>
    </cacheField>
  </cacheFields>
  <cacheHierarchies count="32">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Sales_Rep_ID]" caption="Sales_Rep_ID" attribute="1" defaultMemberUniqueName="[Table1].[Sales_Rep_ID].[All]" allUniqueName="[Table1].[Sales_Rep_ID].[All]" dimensionUniqueName="[Table1]" displayFolder="" count="0" memberValueDatatype="130" unbalanced="0"/>
    <cacheHierarchy uniqueName="[Table1].[Grow Sales]" caption="Grow Sales" attribute="1" defaultMemberUniqueName="[Table1].[Grow Sales].[All]" allUniqueName="[Table1].[Grow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Transaction Month]" caption="Transaction Month" attribute="1" defaultMemberUniqueName="[Table1].[Transaction Month].[All]" allUniqueName="[Table1].[Transaction Month].[All]" dimensionUniqueName="[Table1]" displayFolder="" count="0" memberValueDatatype="130" unbalanced="0"/>
    <cacheHierarchy uniqueName="[Table1].[Transaction Flag]" caption="Transaction Flag" attribute="1" defaultMemberUniqueName="[Table1].[Transaction Flag].[All]" allUniqueName="[Table1].[Transaction Flag].[All]" dimensionUniqueName="[Table1]" displayFolder="" count="0" memberValueDatatype="130" unbalanced="0"/>
    <cacheHierarchy uniqueName="[Table1].[Netsale Classification]" caption="Netsale Classification" attribute="1" defaultMemberUniqueName="[Table1].[Netsale Classification].[All]" allUniqueName="[Table1].[Netsale Classification].[All]" dimensionUniqueName="[Table1]" displayFolder="" count="0" memberValueDatatype="130" unbalanced="0"/>
    <cacheHierarchy uniqueName="[Table1].[Quantity&amp;Discount Flag]" caption="Quantity&amp;Discount Flag" attribute="1" defaultMemberUniqueName="[Table1].[Quantity&amp;Discount Flag].[All]" allUniqueName="[Table1].[Quantity&amp;Discount Flag].[All]" dimensionUniqueName="[Table1]" displayFolder="" count="0" memberValueDatatype="130" unbalanced="0"/>
    <cacheHierarchy uniqueName="[Table1].[Cash OR UPI]" caption="Cash OR UPI" attribute="1" defaultMemberUniqueName="[Table1].[Cash OR UPI].[All]" allUniqueName="[Table1].[Cash OR UPI].[All]" dimensionUniqueName="[Table1]" displayFolder="" count="0" memberValueDatatype="130" unbalanced="0"/>
    <cacheHierarchy uniqueName="[Table1].[Price per unit(IFERROR)]" caption="Price per unit(IFERROR)" attribute="1" defaultMemberUniqueName="[Table1].[Price per unit(IFERROR)].[All]" allUniqueName="[Table1].[Price per unit(IFERROR)].[All]" dimensionUniqueName="[Table1]" displayFolder="" count="0" memberValueDatatype="130" unbalanced="0"/>
    <cacheHierarchy uniqueName="[Table1].[cleaned customer name]" caption="cleaned customer name" attribute="1" defaultMemberUniqueName="[Table1].[cleaned customer name].[All]" allUniqueName="[Table1].[cleaned customer name].[All]" dimensionUniqueName="[Table1]" displayFolder="" count="0" memberValueDatatype="130" unbalanced="0"/>
    <cacheHierarchy uniqueName="[Table1].[Standardized Regions]" caption="Standardized Regions" attribute="1" defaultMemberUniqueName="[Table1].[Standardized Regions].[All]" allUniqueName="[Table1].[Standardized Regions].[All]" dimensionUniqueName="[Table1]" displayFolder="" count="0" memberValueDatatype="130" unbalanced="0"/>
    <cacheHierarchy uniqueName="[Table1].[Extract year&amp;month]" caption="Extract year&amp;month" attribute="1" defaultMemberUniqueName="[Table1].[Extract year&amp;month].[All]" allUniqueName="[Table1].[Extract year&amp;month].[All]" dimensionUniqueName="[Table1]" displayFolder="" count="0" memberValueDatatype="130" unbalanced="0"/>
    <cacheHierarchy uniqueName="[Table1].[MID-numeric from Trans.ID]" caption="MID-numeric from Trans.ID" attribute="1" defaultMemberUniqueName="[Table1].[MID-numeric from Trans.ID].[All]" allUniqueName="[Table1].[MID-numeric from Trans.ID].[All]" dimensionUniqueName="[Table1]" displayFolder="" count="0" memberValueDatatype="130" unbalanced="0"/>
    <cacheHierarchy uniqueName="[Table1].[combine region&amp;category]" caption="combine region&amp;category" attribute="1" defaultMemberUniqueName="[Table1].[combine region&amp;category].[All]" allUniqueName="[Table1].[combine region&amp;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3.699643171298" backgroundQuery="1" createdVersion="3" refreshedVersion="8" minRefreshableVersion="3" recordCount="0" supportSubquery="1" supportAdvancedDrill="1" xr:uid="{809D9E5B-D5BE-432D-8B6A-9940EA22AC90}">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_Channel]" caption="Sales_Channel" attribute="1" defaultMemberUniqueName="[Table1].[Sales_Channel].[All]" allUniqueName="[Table1].[Sales_Channel].[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_INR]" caption="Unit_Price_INR" attribute="1" defaultMemberUniqueName="[Table1].[Unit_Price_INR].[All]" allUniqueName="[Table1].[Unit_Price_INR].[All]" dimensionUniqueName="[Table1]" displayFolder="" count="0" memberValueDatatype="20" unbalanced="0"/>
    <cacheHierarchy uniqueName="[Table1].[Discount_Rate]" caption="Discount_Rate" attribute="1" defaultMemberUniqueName="[Table1].[Discount_Rate].[All]" allUniqueName="[Table1].[Discount_Rat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Sales_Rep_ID]" caption="Sales_Rep_ID" attribute="1" defaultMemberUniqueName="[Table1].[Sales_Rep_ID].[All]" allUniqueName="[Table1].[Sales_Rep_ID].[All]" dimensionUniqueName="[Table1]" displayFolder="" count="0" memberValueDatatype="130" unbalanced="0"/>
    <cacheHierarchy uniqueName="[Table1].[Grow Sales]" caption="Grow Sales" attribute="1" defaultMemberUniqueName="[Table1].[Grow Sales].[All]" allUniqueName="[Table1].[Grow Sales].[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Net Sales]" caption="Net Sales" attribute="1" defaultMemberUniqueName="[Table1].[Net Sales].[All]" allUniqueName="[Table1].[Net Sales].[All]" dimensionUniqueName="[Table1]" displayFolder="" count="0" memberValueDatatype="5" unbalanced="0"/>
    <cacheHierarchy uniqueName="[Table1].[Transaction Month]" caption="Transaction Month" attribute="1" defaultMemberUniqueName="[Table1].[Transaction Month].[All]" allUniqueName="[Table1].[Transaction Month].[All]" dimensionUniqueName="[Table1]" displayFolder="" count="0" memberValueDatatype="130" unbalanced="0"/>
    <cacheHierarchy uniqueName="[Table1].[Transaction Flag]" caption="Transaction Flag" attribute="1" defaultMemberUniqueName="[Table1].[Transaction Flag].[All]" allUniqueName="[Table1].[Transaction Flag].[All]" dimensionUniqueName="[Table1]" displayFolder="" count="0" memberValueDatatype="130" unbalanced="0"/>
    <cacheHierarchy uniqueName="[Table1].[Netsale Classification]" caption="Netsale Classification" attribute="1" defaultMemberUniqueName="[Table1].[Netsale Classification].[All]" allUniqueName="[Table1].[Netsale Classification].[All]" dimensionUniqueName="[Table1]" displayFolder="" count="0" memberValueDatatype="130" unbalanced="0"/>
    <cacheHierarchy uniqueName="[Table1].[Quantity&amp;Discount Flag]" caption="Quantity&amp;Discount Flag" attribute="1" defaultMemberUniqueName="[Table1].[Quantity&amp;Discount Flag].[All]" allUniqueName="[Table1].[Quantity&amp;Discount Flag].[All]" dimensionUniqueName="[Table1]" displayFolder="" count="0" memberValueDatatype="130" unbalanced="0"/>
    <cacheHierarchy uniqueName="[Table1].[Cash OR UPI]" caption="Cash OR UPI" attribute="1" defaultMemberUniqueName="[Table1].[Cash OR UPI].[All]" allUniqueName="[Table1].[Cash OR UPI].[All]" dimensionUniqueName="[Table1]" displayFolder="" count="0" memberValueDatatype="130" unbalanced="0"/>
    <cacheHierarchy uniqueName="[Table1].[Price per unit(IFERROR)]" caption="Price per unit(IFERROR)" attribute="1" defaultMemberUniqueName="[Table1].[Price per unit(IFERROR)].[All]" allUniqueName="[Table1].[Price per unit(IFERROR)].[All]" dimensionUniqueName="[Table1]" displayFolder="" count="0" memberValueDatatype="130" unbalanced="0"/>
    <cacheHierarchy uniqueName="[Table1].[cleaned customer name]" caption="cleaned customer name" attribute="1" defaultMemberUniqueName="[Table1].[cleaned customer name].[All]" allUniqueName="[Table1].[cleaned customer name].[All]" dimensionUniqueName="[Table1]" displayFolder="" count="0" memberValueDatatype="130" unbalanced="0"/>
    <cacheHierarchy uniqueName="[Table1].[Standardized Regions]" caption="Standardized Regions" attribute="1" defaultMemberUniqueName="[Table1].[Standardized Regions].[All]" allUniqueName="[Table1].[Standardized Regions].[All]" dimensionUniqueName="[Table1]" displayFolder="" count="0" memberValueDatatype="130" unbalanced="0"/>
    <cacheHierarchy uniqueName="[Table1].[Extract year&amp;month]" caption="Extract year&amp;month" attribute="1" defaultMemberUniqueName="[Table1].[Extract year&amp;month].[All]" allUniqueName="[Table1].[Extract year&amp;month].[All]" dimensionUniqueName="[Table1]" displayFolder="" count="0" memberValueDatatype="130" unbalanced="0"/>
    <cacheHierarchy uniqueName="[Table1].[MID-numeric from Trans.ID]" caption="MID-numeric from Trans.ID" attribute="1" defaultMemberUniqueName="[Table1].[MID-numeric from Trans.ID].[All]" allUniqueName="[Table1].[MID-numeric from Trans.ID].[All]" dimensionUniqueName="[Table1]" displayFolder="" count="0" memberValueDatatype="130" unbalanced="0"/>
    <cacheHierarchy uniqueName="[Table1].[combine region&amp;category]" caption="combine region&amp;category" attribute="1" defaultMemberUniqueName="[Table1].[combine region&amp;category].[All]" allUniqueName="[Table1].[combine region&amp;category].[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 Sales]" caption="Sum of Net Sales"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826916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460AE-63DC-439E-B333-F167B09C7DA2}"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28:B3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Net Sales" fld="0" baseField="0" baseItem="0"/>
  </dataFields>
  <chartFormats count="4">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 count="1" selected="0">
            <x v="3"/>
          </reference>
        </references>
      </pivotArea>
    </chartFormat>
  </chartFormats>
  <pivotHierarchies count="3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ECC68-3469-4B7C-BC76-1510170F68F8}"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8:B2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Net Sales"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5352BF-6E72-4DD6-9235-7AF8E23D3F4B}"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1"/>
    </i>
    <i>
      <x v="4"/>
    </i>
    <i>
      <x/>
    </i>
    <i>
      <x v="8"/>
    </i>
    <i>
      <x v="5"/>
    </i>
    <i>
      <x v="3"/>
    </i>
    <i>
      <x v="9"/>
    </i>
    <i>
      <x v="2"/>
    </i>
    <i>
      <x v="7"/>
    </i>
    <i t="grand">
      <x/>
    </i>
  </rowItems>
  <colItems count="1">
    <i/>
  </colItems>
  <dataFields count="1">
    <dataField name="Sum of Net Sales" fld="1" baseField="0" baseItem="0"/>
  </dataFields>
  <chartFormats count="1">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A6722B-3070-4855-8CFB-1377C6F7A254}"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37:B43" firstHeaderRow="1" firstDataRow="1" firstDataCol="1"/>
  <pivotFields count="4">
    <pivotField axis="axisRow" allDrilled="1" subtotalTop="0" showAll="0" dataSourceSort="1" defaultSubtotal="0" defaultAttributeDrillState="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s>
  <rowFields count="2">
    <field x="1"/>
    <field x="0"/>
  </rowFields>
  <rowItems count="6">
    <i>
      <x/>
    </i>
    <i>
      <x v="1"/>
    </i>
    <i>
      <x v="2"/>
    </i>
    <i>
      <x v="3"/>
    </i>
    <i>
      <x v="4"/>
    </i>
    <i t="grand">
      <x/>
    </i>
  </rowItems>
  <colItems count="1">
    <i/>
  </colItems>
  <dataFields count="1">
    <dataField name="Sum of Net Sales" fld="2"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2">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CD27D3-D22C-49BA-81C7-614E611CBCD0}" sourceName="[Table1].[Region]">
  <pivotTables>
    <pivotTable tabId="4" name="PivotTable1"/>
    <pivotTable tabId="4" name="PivotTable2"/>
    <pivotTable tabId="4" name="PivotTable3"/>
    <pivotTable tabId="4" name="PivotTable4"/>
  </pivotTables>
  <data>
    <olap pivotCacheId="182691681">
      <levels count="2">
        <level uniqueName="[Table1].[Region].[(All)]" sourceCaption="(All)" count="0"/>
        <level uniqueName="[Table1].[Region].[Region]" sourceCaption="Region" count="5">
          <ranges>
            <range startItem="0">
              <i n="[Table1].[Region].&amp;[ north]" c=" north"/>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98D9EDF-0E42-4A7E-927A-E67B48265679}" sourceName="[Table1].[Sales_Channel]">
  <pivotTables>
    <pivotTable tabId="4" name="PivotTable1"/>
    <pivotTable tabId="4" name="PivotTable2"/>
    <pivotTable tabId="4" name="PivotTable3"/>
    <pivotTable tabId="4" name="PivotTable4"/>
  </pivotTables>
  <data>
    <olap pivotCacheId="182691681">
      <levels count="2">
        <level uniqueName="[Table1].[Sales_Channel].[(All)]" sourceCaption="(All)" count="0"/>
        <level uniqueName="[Table1].[Sales_Channel].[Sales_Channel]" sourceCaption="Sales_Channel" count="3">
          <ranges>
            <range startItem="0">
              <i n="[Table1].[Sales_Channel].&amp;[Online]" c="Online"/>
              <i n="[Table1].[Sales_Channel].&amp;[Retail]" c="Retail"/>
              <i n="[Table1].[Sales_Channel].&amp;[Wholesale]" c="Wholesale"/>
            </range>
          </ranges>
        </level>
      </levels>
      <selections count="1">
        <selection n="[Table1].[Sales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1520B1F-CA17-45C4-B40F-D2F2EE636BD8}" sourceName="[Table1].[Status]">
  <pivotTables>
    <pivotTable tabId="4" name="PivotTable1"/>
    <pivotTable tabId="4" name="PivotTable2"/>
    <pivotTable tabId="4" name="PivotTable3"/>
    <pivotTable tabId="4" name="PivotTable4"/>
  </pivotTables>
  <data>
    <olap pivotCacheId="182691681">
      <levels count="2">
        <level uniqueName="[Table1].[Status].[(All)]" sourceCaption="(All)" count="0"/>
        <level uniqueName="[Table1].[Status].[Status]" sourceCaption="Status" count="4">
          <ranges>
            <range startItem="0">
              <i n="[Table1].[Status].&amp;[Cancelled]" c="Cancelled"/>
              <i n="[Table1].[Status].&amp;[Completed]" c="Completed"/>
              <i n="[Table1].[Status].&amp;[Pending]" c="Pending"/>
              <i n="[Table1].[Status].&amp;[Refunded]" c="Refunded"/>
            </range>
          </ranges>
        </level>
      </levels>
      <selections count="1">
        <selection n="[Table1].[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CA445FD-9ACC-4F15-B5AB-8EDDD75ADB21}" sourceName="[Table1].[Category]">
  <pivotTables>
    <pivotTable tabId="4" name="PivotTable1"/>
    <pivotTable tabId="4" name="PivotTable2"/>
    <pivotTable tabId="4" name="PivotTable3"/>
    <pivotTable tabId="4" name="PivotTable4"/>
  </pivotTables>
  <data>
    <olap pivotCacheId="182691681">
      <levels count="2">
        <level uniqueName="[Table1].[Category].[(All)]" sourceCaption="(All)" count="0"/>
        <level uniqueName="[Table1].[Category].[Category]" sourceCaption="Category" count="5">
          <ranges>
            <range startItem="0">
              <i n="[Table1].[Category].&amp;[Electronics]" c="Electronics"/>
              <i n="[Table1].[Category].&amp;[Fashion]" c="Fashion"/>
              <i n="[Table1].[Category].&amp;[Grocery]" c="Grocery"/>
              <i n="[Table1].[Category].&amp;[Home]" c="Home"/>
              <i n="[Table1].[Category].&amp;[Office]" c="Office"/>
            </range>
          </ranges>
        </level>
      </levels>
      <selections count="1">
        <selection n="[Table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DFFCC2-F03D-4A0B-BC26-8C59F8C0A31D}" cache="Slicer_Region" caption="Region" level="1" rowHeight="234950"/>
  <slicer name="Sales_Channel" xr10:uid="{69341071-7459-456D-8DDD-0648A90553D0}" cache="Slicer_Sales_Channel" caption="Sales_Channel" level="1" rowHeight="234950"/>
  <slicer name="Status" xr10:uid="{18585258-B825-464B-BD5D-CC7B4C19603E}" cache="Slicer_Status" caption="Status" level="1" rowHeight="234950"/>
  <slicer name="Category" xr10:uid="{1935D394-C56F-44F2-9FF3-ABDB45E161FB}" cache="Slicer_Category" caption="Catego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012C7A-83BA-4661-B186-24317583635A}" name="Table1" displayName="Table1" ref="A1:AA77" totalsRowShown="0" headerRowDxfId="52" dataDxfId="50" headerRowBorderDxfId="51" tableBorderDxfId="49">
  <autoFilter ref="A1:AA77" xr:uid="{8F012C7A-83BA-4661-B186-24317583635A}">
    <filterColumn colId="11">
      <filters>
        <filter val="Completed"/>
      </filters>
    </filterColumn>
    <filterColumn colId="15">
      <customFilters>
        <customFilter operator="greaterThan" val="10000"/>
      </customFilters>
    </filterColumn>
  </autoFilter>
  <sortState xmlns:xlrd2="http://schemas.microsoft.com/office/spreadsheetml/2017/richdata2" ref="A2:AA74">
    <sortCondition descending="1" ref="P2:P77"/>
  </sortState>
  <tableColumns count="27">
    <tableColumn id="1" xr3:uid="{ED4669EA-32F8-4B03-BCB3-B3F3BB661DBD}" name="Transaction_ID" dataDxfId="48"/>
    <tableColumn id="2" xr3:uid="{C06AE7AF-D27E-4342-A661-481607F1556C}" name="Date" dataDxfId="47"/>
    <tableColumn id="3" xr3:uid="{9CAB7BB8-87EE-45B3-84D2-22C3EB169FAC}" name="Region" dataDxfId="46"/>
    <tableColumn id="4" xr3:uid="{CDD5A033-D25F-47ED-8BD6-EC134F978C91}" name="Sales_Channel" dataDxfId="45"/>
    <tableColumn id="5" xr3:uid="{9701BD6A-0DB7-4393-BE11-FF781326294C}" name="Customer_Name" dataDxfId="44"/>
    <tableColumn id="6" xr3:uid="{61C0CDEB-09E2-44B3-BBFA-F3A90ADF4A6D}" name="Category" dataDxfId="43"/>
    <tableColumn id="7" xr3:uid="{5E22538A-3E1E-4268-A3C0-18838AE25B4F}" name="Product" dataDxfId="42"/>
    <tableColumn id="8" xr3:uid="{8E3843A0-1833-41B7-878E-D861E045AFA1}" name="Quantity" dataDxfId="41"/>
    <tableColumn id="9" xr3:uid="{74301CD4-5114-4199-A51E-6915BA74858C}" name="Unit_Price_INR" dataDxfId="40"/>
    <tableColumn id="10" xr3:uid="{FCDF1EAF-B81F-4BBF-A8AD-60A2BF03F1A9}" name="Discount_Rate" dataDxfId="39"/>
    <tableColumn id="11" xr3:uid="{A0D6367C-B682-4848-81EE-20A94767B4A3}" name="Payment_Method" dataDxfId="38"/>
    <tableColumn id="12" xr3:uid="{EC71F335-6A08-4984-8CBF-085AF3A0991A}" name="Status" dataDxfId="37"/>
    <tableColumn id="13" xr3:uid="{C9B8B467-CD1D-4C05-9FA4-D6531AEEF713}" name="Sales_Rep_ID" dataDxfId="36"/>
    <tableColumn id="14" xr3:uid="{243FAD48-E840-4863-AB6B-50C430DFCB4D}" name="Grow Sales" dataDxfId="35">
      <calculatedColumnFormula>Table1[[#This Row],[Quantity]]*Table1[[#This Row],[Unit_Price_INR]]</calculatedColumnFormula>
    </tableColumn>
    <tableColumn id="15" xr3:uid="{94BB0B7C-121F-4259-9D29-19FD232A9666}" name="Discount Amount" dataDxfId="34">
      <calculatedColumnFormula>Table1[[#This Row],[Grow Sales]]*Table1[[#This Row],[Discount_Rate]]</calculatedColumnFormula>
    </tableColumn>
    <tableColumn id="16" xr3:uid="{E66FFE41-E6F4-4EE2-A352-B5DD18DD4C2D}" name="Net Sales" dataDxfId="33">
      <calculatedColumnFormula>Table1[[#This Row],[Grow Sales]]-Table1[[#This Row],[Discount Amount]]</calculatedColumnFormula>
    </tableColumn>
    <tableColumn id="17" xr3:uid="{6A7C8907-1558-4DA8-A9C6-74C8831B950D}" name="Transaction Month" dataDxfId="32">
      <calculatedColumnFormula>TEXT(Table1[[#This Row],[Date]],"MMM-ddd-yyyy")</calculatedColumnFormula>
    </tableColumn>
    <tableColumn id="18" xr3:uid="{08439786-7FA7-4E3F-8A6F-D506B357D107}" name="Transaction Flag" dataDxfId="31">
      <calculatedColumnFormula>IF(OR(Table1[[#This Row],[Status]]="Pending",Table1[[#This Row],[Status]]="Refunded"),"Review","OK")</calculatedColumnFormula>
    </tableColumn>
    <tableColumn id="19" xr3:uid="{04E71D68-BF45-4628-8B09-8561288BD2A2}" name="Netsale Classification" dataDxfId="30">
      <calculatedColumnFormula>IF(Table1[[#This Row],[Net Sales]]&gt;=25000,"High",IF(Table1[[#This Row],[Net Sales]]&gt;=10000,"Medium","Low"))</calculatedColumnFormula>
    </tableColumn>
    <tableColumn id="20" xr3:uid="{DF945022-6CA2-47DC-8215-BEDC8C7DD29D}" name="Quantity&amp;Discount Flag" dataDxfId="29">
      <calculatedColumnFormula>IF(AND(Table1[[#This Row],[Quantity]]&gt;=5,Table1[[#This Row],[Discount_Rate]]&gt;=10%),"Review","OK")</calculatedColumnFormula>
    </tableColumn>
    <tableColumn id="21" xr3:uid="{6029242B-6910-4302-9FA3-175257C68E63}" name="Cash OR UPI" dataDxfId="28">
      <calculatedColumnFormula>IF(OR(Table1[[#This Row],[Payment_Method]]="Cash",Table1[[#This Row],[Payment_Method]]="UPI"),"YES","NO")</calculatedColumnFormula>
    </tableColumn>
    <tableColumn id="22" xr3:uid="{8A221FBF-21C6-4E0E-A274-6A130078531A}" name="Price per unit(IFERROR)" dataDxfId="27">
      <calculatedColumnFormula>IFERROR(Table1[[#This Row],[Net Sales]]/Table1[[#This Row],[Quantity]],"check data")</calculatedColumnFormula>
    </tableColumn>
    <tableColumn id="23" xr3:uid="{98233843-04C6-4909-9814-B506D53BDCF7}" name="cleaned customer name" dataDxfId="26">
      <calculatedColumnFormula>PROPER(TRIM(Table1[[#This Row],[Customer_Name]]))</calculatedColumnFormula>
    </tableColumn>
    <tableColumn id="24" xr3:uid="{000057A1-B6C3-4A60-BD87-CEC98CA045B4}" name="Standardized Regions" dataDxfId="25">
      <calculatedColumnFormula>UPPER(TRIM(Table1[[#This Row],[Region]]))</calculatedColumnFormula>
    </tableColumn>
    <tableColumn id="25" xr3:uid="{4D7E1D6B-EE63-4EEF-8FE1-E27E5BA6BBA9}" name="Extract year&amp;month" dataDxfId="24">
      <calculatedColumnFormula>TEXT(Table1[[#This Row],[Date]],"MMMM-yyyy")</calculatedColumnFormula>
    </tableColumn>
    <tableColumn id="26" xr3:uid="{607AF360-2E12-4A50-9DE3-88EDE27BAD4D}" name="MID-numeric from Trans.ID" dataDxfId="23">
      <calculatedColumnFormula>MID(Table1[[#This Row],[Transaction_ID]],4,6)</calculatedColumnFormula>
    </tableColumn>
    <tableColumn id="27" xr3:uid="{EC1CBC49-CE1F-4D60-90DB-15450B3539A2}" name="combine region&amp;category" dataDxfId="22">
      <calculatedColumnFormula>Table1[[#This Row],[Region]]&amp;"-"&amp;Table1[[#This Row],[Category]]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10DE4C-D5D9-4602-9B38-CF5B420EF744}" name="Table3" displayName="Table3" ref="A1:B6" totalsRowShown="0">
  <autoFilter ref="A1:B6" xr:uid="{3B10DE4C-D5D9-4602-9B38-CF5B420EF744}"/>
  <tableColumns count="2">
    <tableColumn id="1" xr3:uid="{D5D16780-0FEF-465D-9E85-D5EC9823A579}" name="sales_id"/>
    <tableColumn id="2" xr3:uid="{6561EC8A-104A-4E72-83D9-CC21161D1AF0}" name="sales_re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C08592-6541-42B0-A83C-B872D58E7971}" name="Table16" displayName="Table16" ref="A1:M78" totalsRowShown="0" headerRowDxfId="21" dataDxfId="19" headerRowBorderDxfId="20" tableBorderDxfId="18">
  <autoFilter ref="A1:M78" xr:uid="{55C08592-6541-42B0-A83C-B872D58E7971}"/>
  <tableColumns count="13">
    <tableColumn id="1" xr3:uid="{E78BFAB1-A6CD-42C7-940B-19F222CABA5C}" name="Transaction_ID" dataDxfId="17"/>
    <tableColumn id="2" xr3:uid="{2F3818F8-8D77-44F0-8DA0-AB95D077B4C9}" name="Date" dataDxfId="16"/>
    <tableColumn id="3" xr3:uid="{81AD56B6-4EB7-4E09-B50F-26B26FC92C92}" name="Region" dataDxfId="15"/>
    <tableColumn id="4" xr3:uid="{79063F0E-54BE-4E43-8837-3B3BD29D362C}" name="Sales_Channel" dataDxfId="14"/>
    <tableColumn id="5" xr3:uid="{DC579705-ADBF-4A1D-9601-8ABCE2063A01}" name="Customer_Name" dataDxfId="13"/>
    <tableColumn id="6" xr3:uid="{9916C05B-543B-4C0F-9EB7-C92815D18F78}" name="Category" dataDxfId="12"/>
    <tableColumn id="7" xr3:uid="{7FA669AA-7539-438A-A0A6-4EDCC0A61240}" name="Product" dataDxfId="11"/>
    <tableColumn id="8" xr3:uid="{8AE44250-0817-494C-A988-CCE90D7BF19E}" name="Quantity" dataDxfId="10"/>
    <tableColumn id="9" xr3:uid="{534944B8-D525-4F39-A993-098C7FE0D1BA}" name="Unit_Price_INR" dataDxfId="9"/>
    <tableColumn id="10" xr3:uid="{C10FFC56-84B2-4C71-9D94-AECE1041A712}" name="Discount_Rate" dataDxfId="8"/>
    <tableColumn id="11" xr3:uid="{9A27D922-6332-4BF3-BF55-5C778C4CF339}" name="Payment_Method" dataDxfId="7"/>
    <tableColumn id="12" xr3:uid="{BCDB2D03-DDC6-4427-81A3-C7A80E1D7A75}" name="Status" dataDxfId="6"/>
    <tableColumn id="13" xr3:uid="{ECAC9321-E972-44C5-BEAD-7E0F11535711}" name="Sales_Rep_ID"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E709-1E06-4534-B5CE-7A072DEA5DAF}">
  <dimension ref="A3:E45"/>
  <sheetViews>
    <sheetView tabSelected="1" workbookViewId="0"/>
  </sheetViews>
  <sheetFormatPr defaultRowHeight="14.4"/>
  <cols>
    <col min="1" max="1" width="12.5546875" bestFit="1" customWidth="1"/>
    <col min="2" max="2" width="15.21875" bestFit="1" customWidth="1"/>
  </cols>
  <sheetData>
    <row r="3" spans="1:2">
      <c r="A3" s="13" t="s">
        <v>307</v>
      </c>
      <c r="B3" t="s">
        <v>309</v>
      </c>
    </row>
    <row r="4" spans="1:2">
      <c r="A4" s="14" t="s">
        <v>68</v>
      </c>
      <c r="B4">
        <v>133950</v>
      </c>
    </row>
    <row r="5" spans="1:2">
      <c r="A5" s="14" t="s">
        <v>5</v>
      </c>
      <c r="B5">
        <v>95680</v>
      </c>
    </row>
    <row r="6" spans="1:2">
      <c r="A6" s="14" t="s">
        <v>132</v>
      </c>
      <c r="B6">
        <v>85560</v>
      </c>
    </row>
    <row r="7" spans="1:2">
      <c r="A7" s="14" t="s">
        <v>159</v>
      </c>
      <c r="B7">
        <v>78120</v>
      </c>
    </row>
    <row r="8" spans="1:2">
      <c r="A8" s="14" t="s">
        <v>80</v>
      </c>
      <c r="B8">
        <v>77440</v>
      </c>
    </row>
    <row r="9" spans="1:2">
      <c r="A9" s="14" t="s">
        <v>123</v>
      </c>
      <c r="B9">
        <v>72380</v>
      </c>
    </row>
    <row r="10" spans="1:2">
      <c r="A10" s="14" t="s">
        <v>29</v>
      </c>
      <c r="B10">
        <v>66600</v>
      </c>
    </row>
    <row r="11" spans="1:2">
      <c r="A11" s="14" t="s">
        <v>168</v>
      </c>
      <c r="B11">
        <v>57960</v>
      </c>
    </row>
    <row r="12" spans="1:2">
      <c r="A12" s="14" t="s">
        <v>56</v>
      </c>
      <c r="B12">
        <v>41216</v>
      </c>
    </row>
    <row r="13" spans="1:2">
      <c r="A13" s="14" t="s">
        <v>117</v>
      </c>
      <c r="B13">
        <v>40320</v>
      </c>
    </row>
    <row r="14" spans="1:2">
      <c r="A14" s="14" t="s">
        <v>308</v>
      </c>
      <c r="B14">
        <v>749226</v>
      </c>
    </row>
    <row r="18" spans="1:2">
      <c r="A18" s="13" t="s">
        <v>307</v>
      </c>
      <c r="B18" t="s">
        <v>309</v>
      </c>
    </row>
    <row r="19" spans="1:2">
      <c r="A19" s="14" t="s">
        <v>310</v>
      </c>
      <c r="B19">
        <v>4845</v>
      </c>
    </row>
    <row r="20" spans="1:2">
      <c r="A20" s="14" t="s">
        <v>25</v>
      </c>
      <c r="B20">
        <v>392316</v>
      </c>
    </row>
    <row r="21" spans="1:2">
      <c r="A21" s="14" t="s">
        <v>1</v>
      </c>
      <c r="B21">
        <v>499870.9</v>
      </c>
    </row>
    <row r="22" spans="1:2">
      <c r="A22" s="14" t="s">
        <v>10</v>
      </c>
      <c r="B22">
        <v>189429.4</v>
      </c>
    </row>
    <row r="23" spans="1:2">
      <c r="A23" s="14" t="s">
        <v>18</v>
      </c>
      <c r="B23">
        <v>507802.5</v>
      </c>
    </row>
    <row r="24" spans="1:2">
      <c r="A24" s="14" t="s">
        <v>308</v>
      </c>
      <c r="B24">
        <v>1594263.8</v>
      </c>
    </row>
    <row r="28" spans="1:2">
      <c r="A28" s="13" t="s">
        <v>307</v>
      </c>
      <c r="B28" t="s">
        <v>309</v>
      </c>
    </row>
    <row r="29" spans="1:2">
      <c r="A29" s="14" t="s">
        <v>105</v>
      </c>
      <c r="B29">
        <v>12960</v>
      </c>
    </row>
    <row r="30" spans="1:2">
      <c r="A30" s="14" t="s">
        <v>7</v>
      </c>
      <c r="B30">
        <v>1455631.8</v>
      </c>
    </row>
    <row r="31" spans="1:2">
      <c r="A31" s="14" t="s">
        <v>43</v>
      </c>
      <c r="B31">
        <v>81752</v>
      </c>
    </row>
    <row r="32" spans="1:2">
      <c r="A32" s="14" t="s">
        <v>53</v>
      </c>
      <c r="B32">
        <v>43920</v>
      </c>
    </row>
    <row r="33" spans="1:5">
      <c r="A33" s="14" t="s">
        <v>308</v>
      </c>
      <c r="B33">
        <v>1594263.8</v>
      </c>
    </row>
    <row r="37" spans="1:5">
      <c r="A37" s="13" t="s">
        <v>307</v>
      </c>
      <c r="B37" t="s">
        <v>309</v>
      </c>
    </row>
    <row r="38" spans="1:5">
      <c r="A38" s="14" t="s">
        <v>311</v>
      </c>
      <c r="B38">
        <v>529893.4</v>
      </c>
    </row>
    <row r="39" spans="1:5">
      <c r="A39" s="14" t="s">
        <v>312</v>
      </c>
      <c r="B39">
        <v>243171.5</v>
      </c>
    </row>
    <row r="40" spans="1:5">
      <c r="A40" s="14" t="s">
        <v>313</v>
      </c>
      <c r="B40">
        <v>463243.2</v>
      </c>
    </row>
    <row r="41" spans="1:5">
      <c r="A41" s="14" t="s">
        <v>314</v>
      </c>
      <c r="B41">
        <v>248214.9</v>
      </c>
    </row>
    <row r="42" spans="1:5">
      <c r="A42" s="14" t="s">
        <v>315</v>
      </c>
      <c r="B42">
        <v>109740.8</v>
      </c>
    </row>
    <row r="43" spans="1:5">
      <c r="A43" s="14" t="s">
        <v>308</v>
      </c>
      <c r="B43">
        <v>1594263.8</v>
      </c>
    </row>
    <row r="45" spans="1:5">
      <c r="E45" t="s">
        <v>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CD67-844A-4389-828B-BB75B6868E84}">
  <dimension ref="A1"/>
  <sheetViews>
    <sheetView showGridLines="0" zoomScale="70" zoomScaleNormal="70" workbookViewId="0"/>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9635F-E986-4018-964D-E8BEF5D59AAF}">
  <dimension ref="A1:AD88"/>
  <sheetViews>
    <sheetView topLeftCell="T1" workbookViewId="0">
      <selection activeCell="AD5" sqref="AD5"/>
    </sheetView>
  </sheetViews>
  <sheetFormatPr defaultRowHeight="14.4"/>
  <cols>
    <col min="1" max="1" width="11" customWidth="1"/>
    <col min="2" max="2" width="14.5546875" customWidth="1"/>
    <col min="3" max="3" width="13.5546875" customWidth="1"/>
    <col min="4" max="4" width="12.33203125" customWidth="1"/>
    <col min="5" max="5" width="19.33203125" customWidth="1"/>
    <col min="6" max="6" width="14.33203125" customWidth="1"/>
    <col min="7" max="7" width="15.44140625" bestFit="1" customWidth="1"/>
    <col min="8" max="8" width="13.109375" customWidth="1"/>
    <col min="9" max="9" width="10.88671875" bestFit="1" customWidth="1"/>
    <col min="11" max="11" width="12.21875" bestFit="1" customWidth="1"/>
    <col min="12" max="12" width="12.77734375" customWidth="1"/>
    <col min="13" max="13" width="10.5546875" bestFit="1" customWidth="1"/>
    <col min="14" max="14" width="13.109375" customWidth="1"/>
    <col min="16" max="16" width="9.88671875" customWidth="1"/>
    <col min="17" max="18" width="15.33203125" customWidth="1"/>
    <col min="19" max="19" width="12.88671875" customWidth="1"/>
    <col min="20" max="20" width="17.33203125" customWidth="1"/>
    <col min="21" max="21" width="12.109375" customWidth="1"/>
    <col min="22" max="22" width="12.88671875" customWidth="1"/>
    <col min="23" max="23" width="16.5546875" customWidth="1"/>
    <col min="24" max="24" width="13.77734375" customWidth="1"/>
    <col min="25" max="25" width="15.109375" customWidth="1"/>
    <col min="26" max="26" width="13.109375" customWidth="1"/>
    <col min="27" max="27" width="15.88671875" customWidth="1"/>
  </cols>
  <sheetData>
    <row r="1" spans="1:30" ht="28.8">
      <c r="A1" s="2" t="s">
        <v>254</v>
      </c>
      <c r="B1" s="2" t="s">
        <v>255</v>
      </c>
      <c r="C1" s="2" t="s">
        <v>256</v>
      </c>
      <c r="D1" s="2" t="s">
        <v>257</v>
      </c>
      <c r="E1" s="2" t="s">
        <v>258</v>
      </c>
      <c r="F1" s="2" t="s">
        <v>259</v>
      </c>
      <c r="G1" s="2" t="s">
        <v>260</v>
      </c>
      <c r="H1" s="2" t="s">
        <v>261</v>
      </c>
      <c r="I1" s="2" t="s">
        <v>262</v>
      </c>
      <c r="J1" s="2" t="s">
        <v>263</v>
      </c>
      <c r="K1" s="2" t="s">
        <v>264</v>
      </c>
      <c r="L1" s="2" t="s">
        <v>265</v>
      </c>
      <c r="M1" s="2" t="s">
        <v>266</v>
      </c>
      <c r="N1" s="2" t="s">
        <v>267</v>
      </c>
      <c r="O1" s="2" t="s">
        <v>268</v>
      </c>
      <c r="P1" s="2" t="s">
        <v>269</v>
      </c>
      <c r="Q1" s="2" t="s">
        <v>270</v>
      </c>
      <c r="R1" s="2" t="s">
        <v>274</v>
      </c>
      <c r="S1" s="2" t="s">
        <v>275</v>
      </c>
      <c r="T1" s="1" t="s">
        <v>276</v>
      </c>
      <c r="U1" s="1" t="s">
        <v>277</v>
      </c>
      <c r="V1" s="12" t="s">
        <v>278</v>
      </c>
      <c r="W1" s="1" t="s">
        <v>302</v>
      </c>
      <c r="X1" s="1" t="s">
        <v>303</v>
      </c>
      <c r="Y1" s="1" t="s">
        <v>304</v>
      </c>
      <c r="Z1" s="12" t="s">
        <v>305</v>
      </c>
      <c r="AA1" s="1" t="s">
        <v>306</v>
      </c>
    </row>
    <row r="2" spans="1:30">
      <c r="A2" s="3" t="s">
        <v>66</v>
      </c>
      <c r="B2" s="4">
        <v>46045</v>
      </c>
      <c r="C2" s="3" t="s">
        <v>18</v>
      </c>
      <c r="D2" s="3" t="s">
        <v>26</v>
      </c>
      <c r="E2" s="3" t="s">
        <v>67</v>
      </c>
      <c r="F2" s="3" t="s">
        <v>4</v>
      </c>
      <c r="G2" s="3" t="s">
        <v>68</v>
      </c>
      <c r="H2" s="3">
        <v>5</v>
      </c>
      <c r="I2" s="5">
        <v>28500</v>
      </c>
      <c r="J2" s="6">
        <v>0.06</v>
      </c>
      <c r="K2" s="3" t="s">
        <v>30</v>
      </c>
      <c r="L2" s="3" t="s">
        <v>7</v>
      </c>
      <c r="M2" s="3" t="s">
        <v>23</v>
      </c>
      <c r="N2" s="3">
        <f>Table1[[#This Row],[Quantity]]*Table1[[#This Row],[Unit_Price_INR]]</f>
        <v>142500</v>
      </c>
      <c r="O2" s="3">
        <f>Table1[[#This Row],[Grow Sales]]*Table1[[#This Row],[Discount_Rate]]</f>
        <v>8550</v>
      </c>
      <c r="P2" s="3">
        <f>Table1[[#This Row],[Grow Sales]]-Table1[[#This Row],[Discount Amount]]</f>
        <v>133950</v>
      </c>
      <c r="Q2" s="3" t="str">
        <f>TEXT(Table1[[#This Row],[Date]],"MMM-ddd-yyyy")</f>
        <v>Jan-Fri-2026</v>
      </c>
      <c r="R2" s="3" t="str">
        <f>IF(OR(Table1[[#This Row],[Status]]="Pending",Table1[[#This Row],[Status]]="Refunded"),"Review","OK")</f>
        <v>OK</v>
      </c>
      <c r="S2" s="3" t="str">
        <f>IF(Table1[[#This Row],[Net Sales]]&gt;=25000,"High",IF(Table1[[#This Row],[Net Sales]]&gt;=10000,"Medium","Low"))</f>
        <v>High</v>
      </c>
      <c r="T2" s="11" t="str">
        <f>IF(AND(Table1[[#This Row],[Quantity]]&gt;=5,Table1[[#This Row],[Discount_Rate]]&gt;=10%),"Review","OK")</f>
        <v>OK</v>
      </c>
      <c r="U2" s="11" t="str">
        <f>IF(OR(Table1[[#This Row],[Payment_Method]]="Cash",Table1[[#This Row],[Payment_Method]]="UPI"),"YES","NO")</f>
        <v>NO</v>
      </c>
      <c r="V2" s="11">
        <f>IFERROR(Table1[[#This Row],[Net Sales]]/Table1[[#This Row],[Quantity]],"check data")</f>
        <v>26790</v>
      </c>
      <c r="W2" s="11" t="str">
        <f>PROPER(TRIM(Table1[[#This Row],[Customer_Name]]))</f>
        <v>Ocean Traders</v>
      </c>
      <c r="X2" s="11" t="str">
        <f>UPPER(TRIM(Table1[[#This Row],[Region]]))</f>
        <v>WEST</v>
      </c>
      <c r="Y2" s="11" t="str">
        <f>TEXT(Table1[[#This Row],[Date]],"MMMM-yyyy")</f>
        <v>January-2026</v>
      </c>
      <c r="Z2" s="11" t="str">
        <f>MID(Table1[[#This Row],[Transaction_ID]],4,6)</f>
        <v>1015</v>
      </c>
      <c r="AA2" s="11" t="str">
        <f>Table1[[#This Row],[Region]]&amp;"-"&amp;Table1[[#This Row],[Category]]</f>
        <v>West-Electronics</v>
      </c>
    </row>
    <row r="3" spans="1:30">
      <c r="A3" s="3" t="s">
        <v>0</v>
      </c>
      <c r="B3" s="4">
        <v>46025</v>
      </c>
      <c r="C3" s="3" t="s">
        <v>1</v>
      </c>
      <c r="D3" s="3" t="s">
        <v>2</v>
      </c>
      <c r="E3" s="3" t="s">
        <v>3</v>
      </c>
      <c r="F3" s="3" t="s">
        <v>4</v>
      </c>
      <c r="G3" s="3" t="s">
        <v>5</v>
      </c>
      <c r="H3" s="3">
        <v>2</v>
      </c>
      <c r="I3" s="5">
        <v>52000</v>
      </c>
      <c r="J3" s="6">
        <v>0.08</v>
      </c>
      <c r="K3" s="3" t="s">
        <v>6</v>
      </c>
      <c r="L3" s="3" t="s">
        <v>7</v>
      </c>
      <c r="M3" s="3" t="s">
        <v>8</v>
      </c>
      <c r="N3" s="3">
        <f>Table1[[#This Row],[Quantity]]*Table1[[#This Row],[Unit_Price_INR]]</f>
        <v>104000</v>
      </c>
      <c r="O3" s="3">
        <f>Table1[[#This Row],[Grow Sales]]*Table1[[#This Row],[Discount_Rate]]</f>
        <v>8320</v>
      </c>
      <c r="P3" s="3">
        <f>Table1[[#This Row],[Grow Sales]]-Table1[[#This Row],[Discount Amount]]</f>
        <v>95680</v>
      </c>
      <c r="Q3" s="3" t="str">
        <f>TEXT(Table1[[#This Row],[Date]],"MMM-ddd-yyyy")</f>
        <v>Jan-Sat-2026</v>
      </c>
      <c r="R3" s="3" t="str">
        <f>IF(OR(Table1[[#This Row],[Status]]="Pending",Table1[[#This Row],[Status]]="Refunded"),"Review","OK")</f>
        <v>OK</v>
      </c>
      <c r="S3" s="3" t="str">
        <f>IF(Table1[[#This Row],[Net Sales]]&gt;=25000,"High",IF(Table1[[#This Row],[Net Sales]]&gt;=10000,"Medium","Low"))</f>
        <v>High</v>
      </c>
      <c r="T3" s="3" t="str">
        <f>IF(AND(Table1[[#This Row],[Quantity]]&gt;=5,Table1[[#This Row],[Discount_Rate]]&gt;=10%),"Review","OK")</f>
        <v>OK</v>
      </c>
      <c r="U3" s="3" t="str">
        <f>IF(OR(Table1[[#This Row],[Payment_Method]]="Cash",Table1[[#This Row],[Payment_Method]]="UPI"),"YES","NO")</f>
        <v>YES</v>
      </c>
      <c r="V3" s="3">
        <f>IFERROR(Table1[[#This Row],[Net Sales]]/Table1[[#This Row],[Quantity]],"check data")</f>
        <v>47840</v>
      </c>
      <c r="W3" s="3" t="str">
        <f>PROPER(TRIM(Table1[[#This Row],[Customer_Name]]))</f>
        <v>Asha Stores</v>
      </c>
      <c r="X3" s="3" t="str">
        <f>UPPER(TRIM(Table1[[#This Row],[Region]]))</f>
        <v>NORTH</v>
      </c>
      <c r="Y3" s="3" t="str">
        <f>TEXT(Table1[[#This Row],[Date]],"MMMM-yyyy")</f>
        <v>January-2026</v>
      </c>
      <c r="Z3" s="3" t="str">
        <f>MID(Table1[[#This Row],[Transaction_ID]],4,6)</f>
        <v>1001</v>
      </c>
      <c r="AA3" s="3" t="str">
        <f>Table1[[#This Row],[Region]]&amp;"-"&amp;Table1[[#This Row],[Category]]</f>
        <v>North-Electronics</v>
      </c>
    </row>
    <row r="4" spans="1:30">
      <c r="A4" s="7" t="s">
        <v>130</v>
      </c>
      <c r="B4" s="8">
        <v>46091</v>
      </c>
      <c r="C4" s="7" t="s">
        <v>25</v>
      </c>
      <c r="D4" s="7" t="s">
        <v>26</v>
      </c>
      <c r="E4" s="7" t="s">
        <v>131</v>
      </c>
      <c r="F4" s="7" t="s">
        <v>4</v>
      </c>
      <c r="G4" s="7" t="s">
        <v>132</v>
      </c>
      <c r="H4" s="7">
        <v>2</v>
      </c>
      <c r="I4" s="9">
        <v>46500</v>
      </c>
      <c r="J4" s="10">
        <v>0.08</v>
      </c>
      <c r="K4" s="7" t="s">
        <v>30</v>
      </c>
      <c r="L4" s="7" t="s">
        <v>7</v>
      </c>
      <c r="M4" s="7" t="s">
        <v>31</v>
      </c>
      <c r="N4" s="3">
        <f>Table1[[#This Row],[Quantity]]*Table1[[#This Row],[Unit_Price_INR]]</f>
        <v>93000</v>
      </c>
      <c r="O4" s="3">
        <f>Table1[[#This Row],[Grow Sales]]*Table1[[#This Row],[Discount_Rate]]</f>
        <v>7440</v>
      </c>
      <c r="P4" s="3">
        <f>Table1[[#This Row],[Grow Sales]]-Table1[[#This Row],[Discount Amount]]</f>
        <v>85560</v>
      </c>
      <c r="Q4" s="3" t="str">
        <f>TEXT(Table1[[#This Row],[Date]],"MMM-ddd-yyyy")</f>
        <v>Mar-Tue-2026</v>
      </c>
      <c r="R4" s="3" t="str">
        <f>IF(OR(Table1[[#This Row],[Status]]="Pending",Table1[[#This Row],[Status]]="Refunded"),"Review","OK")</f>
        <v>OK</v>
      </c>
      <c r="S4" s="3" t="str">
        <f>IF(Table1[[#This Row],[Net Sales]]&gt;=25000,"High",IF(Table1[[#This Row],[Net Sales]]&gt;=10000,"Medium","Low"))</f>
        <v>High</v>
      </c>
      <c r="T4" s="3" t="str">
        <f>IF(AND(Table1[[#This Row],[Quantity]]&gt;=5,Table1[[#This Row],[Discount_Rate]]&gt;=10%),"Review","OK")</f>
        <v>OK</v>
      </c>
      <c r="U4" s="3" t="str">
        <f>IF(OR(Table1[[#This Row],[Payment_Method]]="Cash",Table1[[#This Row],[Payment_Method]]="UPI"),"YES","NO")</f>
        <v>NO</v>
      </c>
      <c r="V4" s="3">
        <f>IFERROR(Table1[[#This Row],[Net Sales]]/Table1[[#This Row],[Quantity]],"check data")</f>
        <v>42780</v>
      </c>
      <c r="W4" s="3" t="str">
        <f>PROPER(TRIM(Table1[[#This Row],[Customer_Name]]))</f>
        <v>Juniper Distributors</v>
      </c>
      <c r="X4" s="3" t="str">
        <f>UPPER(TRIM(Table1[[#This Row],[Region]]))</f>
        <v>EAST</v>
      </c>
      <c r="Y4" s="3" t="str">
        <f>TEXT(Table1[[#This Row],[Date]],"MMMM-yyyy")</f>
        <v>March-2026</v>
      </c>
      <c r="Z4" s="3" t="str">
        <f>MID(Table1[[#This Row],[Transaction_ID]],4,6)</f>
        <v>1036</v>
      </c>
      <c r="AA4" s="3" t="str">
        <f>Table1[[#This Row],[Region]]&amp;"-"&amp;Table1[[#This Row],[Category]]</f>
        <v>East-Electronics</v>
      </c>
      <c r="AD4" s="16"/>
    </row>
    <row r="5" spans="1:30">
      <c r="A5" s="3" t="s">
        <v>157</v>
      </c>
      <c r="B5" s="4">
        <v>46110</v>
      </c>
      <c r="C5" s="3" t="s">
        <v>1</v>
      </c>
      <c r="D5" s="3" t="s">
        <v>26</v>
      </c>
      <c r="E5" s="3" t="s">
        <v>158</v>
      </c>
      <c r="F5" s="3" t="s">
        <v>4</v>
      </c>
      <c r="G5" s="3" t="s">
        <v>159</v>
      </c>
      <c r="H5" s="3">
        <v>2</v>
      </c>
      <c r="I5" s="5">
        <v>42000</v>
      </c>
      <c r="J5" s="6">
        <v>7.0000000000000007E-2</v>
      </c>
      <c r="K5" s="3" t="s">
        <v>30</v>
      </c>
      <c r="L5" s="3" t="s">
        <v>7</v>
      </c>
      <c r="M5" s="3" t="s">
        <v>8</v>
      </c>
      <c r="N5" s="3">
        <f>Table1[[#This Row],[Quantity]]*Table1[[#This Row],[Unit_Price_INR]]</f>
        <v>84000</v>
      </c>
      <c r="O5" s="3">
        <f>Table1[[#This Row],[Grow Sales]]*Table1[[#This Row],[Discount_Rate]]</f>
        <v>5880.0000000000009</v>
      </c>
      <c r="P5" s="3">
        <f>Table1[[#This Row],[Grow Sales]]-Table1[[#This Row],[Discount Amount]]</f>
        <v>78120</v>
      </c>
      <c r="Q5" s="3" t="str">
        <f>TEXT(Table1[[#This Row],[Date]],"MMM-ddd-yyyy")</f>
        <v>Mar-Sun-2026</v>
      </c>
      <c r="R5" s="3" t="str">
        <f>IF(OR(Table1[[#This Row],[Status]]="Pending",Table1[[#This Row],[Status]]="Refunded"),"Review","OK")</f>
        <v>OK</v>
      </c>
      <c r="S5" s="3" t="str">
        <f>IF(Table1[[#This Row],[Net Sales]]&gt;=25000,"High",IF(Table1[[#This Row],[Net Sales]]&gt;=10000,"Medium","Low"))</f>
        <v>High</v>
      </c>
      <c r="T5" s="3" t="str">
        <f>IF(AND(Table1[[#This Row],[Quantity]]&gt;=5,Table1[[#This Row],[Discount_Rate]]&gt;=10%),"Review","OK")</f>
        <v>OK</v>
      </c>
      <c r="U5" s="3" t="str">
        <f>IF(OR(Table1[[#This Row],[Payment_Method]]="Cash",Table1[[#This Row],[Payment_Method]]="UPI"),"YES","NO")</f>
        <v>NO</v>
      </c>
      <c r="V5" s="3">
        <f>IFERROR(Table1[[#This Row],[Net Sales]]/Table1[[#This Row],[Quantity]],"check data")</f>
        <v>39060</v>
      </c>
      <c r="W5" s="3" t="str">
        <f>PROPER(TRIM(Table1[[#This Row],[Customer_Name]]))</f>
        <v>Silverline Traders</v>
      </c>
      <c r="X5" s="3" t="str">
        <f>UPPER(TRIM(Table1[[#This Row],[Region]]))</f>
        <v>NORTH</v>
      </c>
      <c r="Y5" s="3" t="str">
        <f>TEXT(Table1[[#This Row],[Date]],"MMMM-yyyy")</f>
        <v>March-2026</v>
      </c>
      <c r="Z5" s="3" t="str">
        <f>MID(Table1[[#This Row],[Transaction_ID]],4,6)</f>
        <v>1045</v>
      </c>
      <c r="AA5" s="3" t="str">
        <f>Table1[[#This Row],[Region]]&amp;"-"&amp;Table1[[#This Row],[Category]]</f>
        <v>North-Electronics</v>
      </c>
    </row>
    <row r="6" spans="1:30">
      <c r="A6" s="3" t="s">
        <v>78</v>
      </c>
      <c r="B6" s="4">
        <v>46055</v>
      </c>
      <c r="C6" s="3" t="s">
        <v>18</v>
      </c>
      <c r="D6" s="3" t="s">
        <v>11</v>
      </c>
      <c r="E6" s="3" t="s">
        <v>79</v>
      </c>
      <c r="F6" s="3" t="s">
        <v>4</v>
      </c>
      <c r="G6" s="3" t="s">
        <v>80</v>
      </c>
      <c r="H6" s="3">
        <v>4</v>
      </c>
      <c r="I6" s="5">
        <v>22000</v>
      </c>
      <c r="J6" s="6">
        <v>0.12</v>
      </c>
      <c r="K6" s="3" t="s">
        <v>15</v>
      </c>
      <c r="L6" s="3" t="s">
        <v>7</v>
      </c>
      <c r="M6" s="3" t="s">
        <v>23</v>
      </c>
      <c r="N6" s="3">
        <f>Table1[[#This Row],[Quantity]]*Table1[[#This Row],[Unit_Price_INR]]</f>
        <v>88000</v>
      </c>
      <c r="O6" s="3">
        <f>Table1[[#This Row],[Grow Sales]]*Table1[[#This Row],[Discount_Rate]]</f>
        <v>10560</v>
      </c>
      <c r="P6" s="3">
        <f>Table1[[#This Row],[Grow Sales]]-Table1[[#This Row],[Discount Amount]]</f>
        <v>77440</v>
      </c>
      <c r="Q6" s="3" t="str">
        <f>TEXT(Table1[[#This Row],[Date]],"MMM-ddd-yyyy")</f>
        <v>Feb-Mon-2026</v>
      </c>
      <c r="R6" s="3" t="str">
        <f>IF(OR(Table1[[#This Row],[Status]]="Pending",Table1[[#This Row],[Status]]="Refunded"),"Review","OK")</f>
        <v>OK</v>
      </c>
      <c r="S6" s="3" t="str">
        <f>IF(Table1[[#This Row],[Net Sales]]&gt;=25000,"High",IF(Table1[[#This Row],[Net Sales]]&gt;=10000,"Medium","Low"))</f>
        <v>High</v>
      </c>
      <c r="T6" s="3" t="str">
        <f>IF(AND(Table1[[#This Row],[Quantity]]&gt;=5,Table1[[#This Row],[Discount_Rate]]&gt;=10%),"Review","OK")</f>
        <v>OK</v>
      </c>
      <c r="U6" s="3" t="str">
        <f>IF(OR(Table1[[#This Row],[Payment_Method]]="Cash",Table1[[#This Row],[Payment_Method]]="UPI"),"YES","NO")</f>
        <v>NO</v>
      </c>
      <c r="V6" s="3">
        <f>IFERROR(Table1[[#This Row],[Net Sales]]/Table1[[#This Row],[Quantity]],"check data")</f>
        <v>19360</v>
      </c>
      <c r="W6" s="3" t="str">
        <f>PROPER(TRIM(Table1[[#This Row],[Customer_Name]]))</f>
        <v>Sunrise Shop</v>
      </c>
      <c r="X6" s="3" t="str">
        <f>UPPER(TRIM(Table1[[#This Row],[Region]]))</f>
        <v>WEST</v>
      </c>
      <c r="Y6" s="3" t="str">
        <f>TEXT(Table1[[#This Row],[Date]],"MMMM-yyyy")</f>
        <v>February-2026</v>
      </c>
      <c r="Z6" s="3" t="str">
        <f>MID(Table1[[#This Row],[Transaction_ID]],4,6)</f>
        <v>1019</v>
      </c>
      <c r="AA6" s="3" t="str">
        <f>Table1[[#This Row],[Region]]&amp;"-"&amp;Table1[[#This Row],[Category]]</f>
        <v>West-Electronics</v>
      </c>
    </row>
    <row r="7" spans="1:30" hidden="1">
      <c r="A7" s="7" t="s">
        <v>36</v>
      </c>
      <c r="B7" s="8">
        <v>46031</v>
      </c>
      <c r="C7" s="7" t="s">
        <v>10</v>
      </c>
      <c r="D7" s="7" t="s">
        <v>2</v>
      </c>
      <c r="E7" s="7" t="s">
        <v>37</v>
      </c>
      <c r="F7" s="7" t="s">
        <v>20</v>
      </c>
      <c r="G7" s="7" t="s">
        <v>38</v>
      </c>
      <c r="H7" s="7">
        <v>12</v>
      </c>
      <c r="I7" s="9">
        <v>185</v>
      </c>
      <c r="J7" s="10">
        <v>0.03</v>
      </c>
      <c r="K7" s="7" t="s">
        <v>6</v>
      </c>
      <c r="L7" s="7" t="s">
        <v>7</v>
      </c>
      <c r="M7" s="7" t="s">
        <v>39</v>
      </c>
      <c r="N7" s="3">
        <f>Table1[[#This Row],[Quantity]]*Table1[[#This Row],[Unit_Price_INR]]</f>
        <v>2220</v>
      </c>
      <c r="O7" s="3">
        <f>Table1[[#This Row],[Grow Sales]]*Table1[[#This Row],[Discount_Rate]]</f>
        <v>66.599999999999994</v>
      </c>
      <c r="P7" s="3">
        <f>Table1[[#This Row],[Grow Sales]]-Table1[[#This Row],[Discount Amount]]</f>
        <v>2153.4</v>
      </c>
      <c r="Q7" s="3" t="str">
        <f>TEXT(Table1[[#This Row],[Date]],"MMM-ddd-yyyy")</f>
        <v>Jan-Fri-2026</v>
      </c>
      <c r="R7" s="3" t="str">
        <f>IF(OR(Table1[[#This Row],[Status]]="Pending",Table1[[#This Row],[Status]]="Refunded"),"Review","OK")</f>
        <v>OK</v>
      </c>
      <c r="S7" s="3" t="str">
        <f>IF(Table1[[#This Row],[Net Sales]]&gt;=25000,"High",IF(Table1[[#This Row],[Net Sales]]&gt;=10000,"Medium","Low"))</f>
        <v>Low</v>
      </c>
      <c r="T7" s="3" t="str">
        <f>IF(AND(Table1[[#This Row],[Quantity]]&gt;=5,Table1[[#This Row],[Discount_Rate]]&gt;=10%),"Review","OK")</f>
        <v>OK</v>
      </c>
      <c r="U7" s="3" t="str">
        <f>IF(OR(Table1[[#This Row],[Payment_Method]]="Cash",Table1[[#This Row],[Payment_Method]]="UPI"),"YES","NO")</f>
        <v>YES</v>
      </c>
      <c r="V7" s="3">
        <f>IFERROR(Table1[[#This Row],[Net Sales]]/Table1[[#This Row],[Quantity]],"check data")</f>
        <v>179.45000000000002</v>
      </c>
      <c r="W7" s="3" t="str">
        <f>PROPER(TRIM(Table1[[#This Row],[Customer_Name]]))</f>
        <v>Fresh Basket</v>
      </c>
      <c r="X7" s="3" t="str">
        <f>UPPER(TRIM(Table1[[#This Row],[Region]]))</f>
        <v>SOUTH</v>
      </c>
      <c r="Y7" s="3" t="str">
        <f>TEXT(Table1[[#This Row],[Date]],"MMMM-yyyy")</f>
        <v>January-2026</v>
      </c>
      <c r="Z7" s="3" t="str">
        <f>MID(Table1[[#This Row],[Transaction_ID]],4,6)</f>
        <v>1006</v>
      </c>
      <c r="AA7" s="3" t="str">
        <f>Table1[[#This Row],[Region]]&amp;"-"&amp;Table1[[#This Row],[Category]]</f>
        <v>South-Grocery</v>
      </c>
    </row>
    <row r="8" spans="1:30" hidden="1">
      <c r="A8" s="3" t="s">
        <v>40</v>
      </c>
      <c r="B8" s="4">
        <v>46032</v>
      </c>
      <c r="C8" s="3" t="s">
        <v>18</v>
      </c>
      <c r="D8" s="3" t="s">
        <v>11</v>
      </c>
      <c r="E8" s="3" t="s">
        <v>41</v>
      </c>
      <c r="F8" s="3" t="s">
        <v>4</v>
      </c>
      <c r="G8" s="3" t="s">
        <v>42</v>
      </c>
      <c r="H8" s="3">
        <v>8</v>
      </c>
      <c r="I8" s="5">
        <v>1800</v>
      </c>
      <c r="J8" s="6">
        <v>0.12</v>
      </c>
      <c r="K8" s="3" t="s">
        <v>15</v>
      </c>
      <c r="L8" s="3" t="s">
        <v>43</v>
      </c>
      <c r="M8" s="3" t="s">
        <v>23</v>
      </c>
      <c r="N8" s="3">
        <f>Table1[[#This Row],[Quantity]]*Table1[[#This Row],[Unit_Price_INR]]</f>
        <v>14400</v>
      </c>
      <c r="O8" s="3">
        <f>Table1[[#This Row],[Grow Sales]]*Table1[[#This Row],[Discount_Rate]]</f>
        <v>1728</v>
      </c>
      <c r="P8" s="3">
        <f>Table1[[#This Row],[Grow Sales]]-Table1[[#This Row],[Discount Amount]]</f>
        <v>12672</v>
      </c>
      <c r="Q8" s="3" t="str">
        <f>TEXT(Table1[[#This Row],[Date]],"MMM-ddd-yyyy")</f>
        <v>Jan-Sat-2026</v>
      </c>
      <c r="R8" s="3" t="str">
        <f>IF(OR(Table1[[#This Row],[Status]]="Pending",Table1[[#This Row],[Status]]="Refunded"),"Review","OK")</f>
        <v>Review</v>
      </c>
      <c r="S8" s="3" t="str">
        <f>IF(Table1[[#This Row],[Net Sales]]&gt;=25000,"High",IF(Table1[[#This Row],[Net Sales]]&gt;=10000,"Medium","Low"))</f>
        <v>Medium</v>
      </c>
      <c r="T8" s="3" t="str">
        <f>IF(AND(Table1[[#This Row],[Quantity]]&gt;=5,Table1[[#This Row],[Discount_Rate]]&gt;=10%),"Review","OK")</f>
        <v>Review</v>
      </c>
      <c r="U8" s="3" t="str">
        <f>IF(OR(Table1[[#This Row],[Payment_Method]]="Cash",Table1[[#This Row],[Payment_Method]]="UPI"),"YES","NO")</f>
        <v>NO</v>
      </c>
      <c r="V8" s="3">
        <f>IFERROR(Table1[[#This Row],[Net Sales]]/Table1[[#This Row],[Quantity]],"check data")</f>
        <v>1584</v>
      </c>
      <c r="W8" s="3" t="str">
        <f>PROPER(TRIM(Table1[[#This Row],[Customer_Name]]))</f>
        <v>Global Needs</v>
      </c>
      <c r="X8" s="3" t="str">
        <f>UPPER(TRIM(Table1[[#This Row],[Region]]))</f>
        <v>WEST</v>
      </c>
      <c r="Y8" s="3" t="str">
        <f>TEXT(Table1[[#This Row],[Date]],"MMMM-yyyy")</f>
        <v>January-2026</v>
      </c>
      <c r="Z8" s="3" t="str">
        <f>MID(Table1[[#This Row],[Transaction_ID]],4,6)</f>
        <v>1007</v>
      </c>
      <c r="AA8" s="3" t="str">
        <f>Table1[[#This Row],[Region]]&amp;"-"&amp;Table1[[#This Row],[Category]]</f>
        <v>West-Electronics</v>
      </c>
    </row>
    <row r="9" spans="1:30">
      <c r="A9" s="3" t="s">
        <v>121</v>
      </c>
      <c r="B9" s="4">
        <v>46085</v>
      </c>
      <c r="C9" s="3" t="s">
        <v>1</v>
      </c>
      <c r="D9" s="3" t="s">
        <v>26</v>
      </c>
      <c r="E9" s="3" t="s">
        <v>122</v>
      </c>
      <c r="F9" s="3" t="s">
        <v>13</v>
      </c>
      <c r="G9" s="3" t="s">
        <v>123</v>
      </c>
      <c r="H9" s="3">
        <v>2</v>
      </c>
      <c r="I9" s="5">
        <v>38500</v>
      </c>
      <c r="J9" s="6">
        <v>0.06</v>
      </c>
      <c r="K9" s="3" t="s">
        <v>30</v>
      </c>
      <c r="L9" s="3" t="s">
        <v>7</v>
      </c>
      <c r="M9" s="3" t="s">
        <v>8</v>
      </c>
      <c r="N9" s="3">
        <f>Table1[[#This Row],[Quantity]]*Table1[[#This Row],[Unit_Price_INR]]</f>
        <v>77000</v>
      </c>
      <c r="O9" s="3">
        <f>Table1[[#This Row],[Grow Sales]]*Table1[[#This Row],[Discount_Rate]]</f>
        <v>4620</v>
      </c>
      <c r="P9" s="3">
        <f>Table1[[#This Row],[Grow Sales]]-Table1[[#This Row],[Discount Amount]]</f>
        <v>72380</v>
      </c>
      <c r="Q9" s="3" t="str">
        <f>TEXT(Table1[[#This Row],[Date]],"MMM-ddd-yyyy")</f>
        <v>Mar-Wed-2026</v>
      </c>
      <c r="R9" s="3" t="str">
        <f>IF(OR(Table1[[#This Row],[Status]]="Pending",Table1[[#This Row],[Status]]="Refunded"),"Review","OK")</f>
        <v>OK</v>
      </c>
      <c r="S9" s="3" t="str">
        <f>IF(Table1[[#This Row],[Net Sales]]&gt;=25000,"High",IF(Table1[[#This Row],[Net Sales]]&gt;=10000,"Medium","Low"))</f>
        <v>High</v>
      </c>
      <c r="T9" s="3" t="str">
        <f>IF(AND(Table1[[#This Row],[Quantity]]&gt;=5,Table1[[#This Row],[Discount_Rate]]&gt;=10%),"Review","OK")</f>
        <v>OK</v>
      </c>
      <c r="U9" s="3" t="str">
        <f>IF(OR(Table1[[#This Row],[Payment_Method]]="Cash",Table1[[#This Row],[Payment_Method]]="UPI"),"YES","NO")</f>
        <v>NO</v>
      </c>
      <c r="V9" s="3">
        <f>IFERROR(Table1[[#This Row],[Net Sales]]/Table1[[#This Row],[Quantity]],"check data")</f>
        <v>36190</v>
      </c>
      <c r="W9" s="3" t="str">
        <f>PROPER(TRIM(Table1[[#This Row],[Customer_Name]]))</f>
        <v>Grove Traders</v>
      </c>
      <c r="X9" s="3" t="str">
        <f>UPPER(TRIM(Table1[[#This Row],[Region]]))</f>
        <v>NORTH</v>
      </c>
      <c r="Y9" s="3" t="str">
        <f>TEXT(Table1[[#This Row],[Date]],"MMMM-yyyy")</f>
        <v>March-2026</v>
      </c>
      <c r="Z9" s="3" t="str">
        <f>MID(Table1[[#This Row],[Transaction_ID]],4,6)</f>
        <v>1033</v>
      </c>
      <c r="AA9" s="3" t="str">
        <f>Table1[[#This Row],[Region]]&amp;"-"&amp;Table1[[#This Row],[Category]]</f>
        <v>North-Home</v>
      </c>
    </row>
    <row r="10" spans="1:30">
      <c r="A10" s="7" t="s">
        <v>24</v>
      </c>
      <c r="B10" s="8">
        <v>46028</v>
      </c>
      <c r="C10" s="7" t="s">
        <v>25</v>
      </c>
      <c r="D10" s="7" t="s">
        <v>26</v>
      </c>
      <c r="E10" s="7" t="s">
        <v>27</v>
      </c>
      <c r="F10" s="7" t="s">
        <v>28</v>
      </c>
      <c r="G10" s="7" t="s">
        <v>29</v>
      </c>
      <c r="H10" s="7">
        <v>4</v>
      </c>
      <c r="I10" s="9">
        <v>18500</v>
      </c>
      <c r="J10" s="10">
        <v>0.1</v>
      </c>
      <c r="K10" s="7" t="s">
        <v>30</v>
      </c>
      <c r="L10" s="7" t="s">
        <v>7</v>
      </c>
      <c r="M10" s="7" t="s">
        <v>31</v>
      </c>
      <c r="N10" s="3">
        <f>Table1[[#This Row],[Quantity]]*Table1[[#This Row],[Unit_Price_INR]]</f>
        <v>74000</v>
      </c>
      <c r="O10" s="3">
        <f>Table1[[#This Row],[Grow Sales]]*Table1[[#This Row],[Discount_Rate]]</f>
        <v>7400</v>
      </c>
      <c r="P10" s="3">
        <f>Table1[[#This Row],[Grow Sales]]-Table1[[#This Row],[Discount Amount]]</f>
        <v>66600</v>
      </c>
      <c r="Q10" s="3" t="str">
        <f>TEXT(Table1[[#This Row],[Date]],"MMM-ddd-yyyy")</f>
        <v>Jan-Tue-2026</v>
      </c>
      <c r="R10" s="3" t="str">
        <f>IF(OR(Table1[[#This Row],[Status]]="Pending",Table1[[#This Row],[Status]]="Refunded"),"Review","OK")</f>
        <v>OK</v>
      </c>
      <c r="S10" s="3" t="str">
        <f>IF(Table1[[#This Row],[Net Sales]]&gt;=25000,"High",IF(Table1[[#This Row],[Net Sales]]&gt;=10000,"Medium","Low"))</f>
        <v>High</v>
      </c>
      <c r="T10" s="3" t="str">
        <f>IF(AND(Table1[[#This Row],[Quantity]]&gt;=5,Table1[[#This Row],[Discount_Rate]]&gt;=10%),"Review","OK")</f>
        <v>OK</v>
      </c>
      <c r="U10" s="3" t="str">
        <f>IF(OR(Table1[[#This Row],[Payment_Method]]="Cash",Table1[[#This Row],[Payment_Method]]="UPI"),"YES","NO")</f>
        <v>NO</v>
      </c>
      <c r="V10" s="3">
        <f>IFERROR(Table1[[#This Row],[Net Sales]]/Table1[[#This Row],[Quantity]],"check data")</f>
        <v>16650</v>
      </c>
      <c r="W10" s="3" t="str">
        <f>PROPER(TRIM(Table1[[#This Row],[Customer_Name]]))</f>
        <v>Delta Traders</v>
      </c>
      <c r="X10" s="3" t="str">
        <f>UPPER(TRIM(Table1[[#This Row],[Region]]))</f>
        <v>EAST</v>
      </c>
      <c r="Y10" s="3" t="str">
        <f>TEXT(Table1[[#This Row],[Date]],"MMMM-yyyy")</f>
        <v>January-2026</v>
      </c>
      <c r="Z10" s="3" t="str">
        <f>MID(Table1[[#This Row],[Transaction_ID]],4,6)</f>
        <v>1004</v>
      </c>
      <c r="AA10" s="3" t="str">
        <f>Table1[[#This Row],[Region]]&amp;"-"&amp;Table1[[#This Row],[Category]]</f>
        <v>East-Office</v>
      </c>
    </row>
    <row r="11" spans="1:30" hidden="1">
      <c r="A11" s="7" t="s">
        <v>50</v>
      </c>
      <c r="B11" s="8">
        <v>46036</v>
      </c>
      <c r="C11" s="7" t="s">
        <v>10</v>
      </c>
      <c r="D11" s="7" t="s">
        <v>11</v>
      </c>
      <c r="E11" s="7" t="s">
        <v>51</v>
      </c>
      <c r="F11" s="7" t="s">
        <v>34</v>
      </c>
      <c r="G11" s="7" t="s">
        <v>52</v>
      </c>
      <c r="H11" s="7">
        <v>6</v>
      </c>
      <c r="I11" s="9">
        <v>3200</v>
      </c>
      <c r="J11" s="10">
        <v>0.2</v>
      </c>
      <c r="K11" s="7" t="s">
        <v>6</v>
      </c>
      <c r="L11" s="7" t="s">
        <v>53</v>
      </c>
      <c r="M11" s="7" t="s">
        <v>39</v>
      </c>
      <c r="N11" s="3">
        <f>Table1[[#This Row],[Quantity]]*Table1[[#This Row],[Unit_Price_INR]]</f>
        <v>19200</v>
      </c>
      <c r="O11" s="3">
        <f>Table1[[#This Row],[Grow Sales]]*Table1[[#This Row],[Discount_Rate]]</f>
        <v>3840</v>
      </c>
      <c r="P11" s="3">
        <f>Table1[[#This Row],[Grow Sales]]-Table1[[#This Row],[Discount Amount]]</f>
        <v>15360</v>
      </c>
      <c r="Q11" s="3" t="str">
        <f>TEXT(Table1[[#This Row],[Date]],"MMM-ddd-yyyy")</f>
        <v>Jan-Wed-2026</v>
      </c>
      <c r="R11" s="3" t="str">
        <f>IF(OR(Table1[[#This Row],[Status]]="Pending",Table1[[#This Row],[Status]]="Refunded"),"Review","OK")</f>
        <v>Review</v>
      </c>
      <c r="S11" s="3" t="str">
        <f>IF(Table1[[#This Row],[Net Sales]]&gt;=25000,"High",IF(Table1[[#This Row],[Net Sales]]&gt;=10000,"Medium","Low"))</f>
        <v>Medium</v>
      </c>
      <c r="T11" s="3" t="str">
        <f>IF(AND(Table1[[#This Row],[Quantity]]&gt;=5,Table1[[#This Row],[Discount_Rate]]&gt;=10%),"Review","OK")</f>
        <v>Review</v>
      </c>
      <c r="U11" s="3" t="str">
        <f>IF(OR(Table1[[#This Row],[Payment_Method]]="Cash",Table1[[#This Row],[Payment_Method]]="UPI"),"YES","NO")</f>
        <v>YES</v>
      </c>
      <c r="V11" s="3">
        <f>IFERROR(Table1[[#This Row],[Net Sales]]/Table1[[#This Row],[Quantity]],"check data")</f>
        <v>2560</v>
      </c>
      <c r="W11" s="3" t="str">
        <f>PROPER(TRIM(Table1[[#This Row],[Customer_Name]]))</f>
        <v>Jasmine Market</v>
      </c>
      <c r="X11" s="3" t="str">
        <f>UPPER(TRIM(Table1[[#This Row],[Region]]))</f>
        <v>SOUTH</v>
      </c>
      <c r="Y11" s="3" t="str">
        <f>TEXT(Table1[[#This Row],[Date]],"MMMM-yyyy")</f>
        <v>January-2026</v>
      </c>
      <c r="Z11" s="3" t="str">
        <f>MID(Table1[[#This Row],[Transaction_ID]],4,6)</f>
        <v>1010</v>
      </c>
      <c r="AA11" s="3" t="str">
        <f>Table1[[#This Row],[Region]]&amp;"-"&amp;Table1[[#This Row],[Category]]</f>
        <v>South-Fashion</v>
      </c>
    </row>
    <row r="12" spans="1:30">
      <c r="A12" s="7" t="s">
        <v>166</v>
      </c>
      <c r="B12" s="8">
        <v>46118</v>
      </c>
      <c r="C12" s="7" t="s">
        <v>25</v>
      </c>
      <c r="D12" s="7" t="s">
        <v>26</v>
      </c>
      <c r="E12" s="7" t="s">
        <v>167</v>
      </c>
      <c r="F12" s="7" t="s">
        <v>13</v>
      </c>
      <c r="G12" s="7" t="s">
        <v>168</v>
      </c>
      <c r="H12" s="7">
        <v>2</v>
      </c>
      <c r="I12" s="9">
        <v>31500</v>
      </c>
      <c r="J12" s="10">
        <v>0.08</v>
      </c>
      <c r="K12" s="7" t="s">
        <v>30</v>
      </c>
      <c r="L12" s="7" t="s">
        <v>7</v>
      </c>
      <c r="M12" s="7" t="s">
        <v>31</v>
      </c>
      <c r="N12" s="3">
        <f>Table1[[#This Row],[Quantity]]*Table1[[#This Row],[Unit_Price_INR]]</f>
        <v>63000</v>
      </c>
      <c r="O12" s="3">
        <f>Table1[[#This Row],[Grow Sales]]*Table1[[#This Row],[Discount_Rate]]</f>
        <v>5040</v>
      </c>
      <c r="P12" s="3">
        <f>Table1[[#This Row],[Grow Sales]]-Table1[[#This Row],[Discount Amount]]</f>
        <v>57960</v>
      </c>
      <c r="Q12" s="3" t="str">
        <f>TEXT(Table1[[#This Row],[Date]],"MMM-ddd-yyyy")</f>
        <v>Apr-Mon-2026</v>
      </c>
      <c r="R12" s="3" t="str">
        <f>IF(OR(Table1[[#This Row],[Status]]="Pending",Table1[[#This Row],[Status]]="Refunded"),"Review","OK")</f>
        <v>OK</v>
      </c>
      <c r="S12" s="3" t="str">
        <f>IF(Table1[[#This Row],[Net Sales]]&gt;=25000,"High",IF(Table1[[#This Row],[Net Sales]]&gt;=10000,"Medium","Low"))</f>
        <v>High</v>
      </c>
      <c r="T12" s="3" t="str">
        <f>IF(AND(Table1[[#This Row],[Quantity]]&gt;=5,Table1[[#This Row],[Discount_Rate]]&gt;=10%),"Review","OK")</f>
        <v>OK</v>
      </c>
      <c r="U12" s="3" t="str">
        <f>IF(OR(Table1[[#This Row],[Payment_Method]]="Cash",Table1[[#This Row],[Payment_Method]]="UPI"),"YES","NO")</f>
        <v>NO</v>
      </c>
      <c r="V12" s="3">
        <f>IFERROR(Table1[[#This Row],[Net Sales]]/Table1[[#This Row],[Quantity]],"check data")</f>
        <v>28980</v>
      </c>
      <c r="W12" s="3" t="str">
        <f>PROPER(TRIM(Table1[[#This Row],[Customer_Name]]))</f>
        <v>Vista Traders</v>
      </c>
      <c r="X12" s="3" t="str">
        <f>UPPER(TRIM(Table1[[#This Row],[Region]]))</f>
        <v>EAST</v>
      </c>
      <c r="Y12" s="3" t="str">
        <f>TEXT(Table1[[#This Row],[Date]],"MMMM-yyyy")</f>
        <v>April-2026</v>
      </c>
      <c r="Z12" s="3" t="str">
        <f>MID(Table1[[#This Row],[Transaction_ID]],4,6)</f>
        <v>1048</v>
      </c>
      <c r="AA12" s="3" t="str">
        <f>Table1[[#This Row],[Region]]&amp;"-"&amp;Table1[[#This Row],[Category]]</f>
        <v>East-Home</v>
      </c>
    </row>
    <row r="13" spans="1:30">
      <c r="A13" s="3" t="s">
        <v>54</v>
      </c>
      <c r="B13" s="4">
        <v>46037</v>
      </c>
      <c r="C13" s="3" t="s">
        <v>18</v>
      </c>
      <c r="D13" s="3" t="s">
        <v>2</v>
      </c>
      <c r="E13" s="3" t="s">
        <v>55</v>
      </c>
      <c r="F13" s="3" t="s">
        <v>4</v>
      </c>
      <c r="G13" s="3" t="s">
        <v>56</v>
      </c>
      <c r="H13" s="3">
        <v>4</v>
      </c>
      <c r="I13" s="5">
        <v>11200</v>
      </c>
      <c r="J13" s="6">
        <v>0.08</v>
      </c>
      <c r="K13" s="3" t="s">
        <v>15</v>
      </c>
      <c r="L13" s="3" t="s">
        <v>7</v>
      </c>
      <c r="M13" s="3" t="s">
        <v>23</v>
      </c>
      <c r="N13" s="3">
        <f>Table1[[#This Row],[Quantity]]*Table1[[#This Row],[Unit_Price_INR]]</f>
        <v>44800</v>
      </c>
      <c r="O13" s="3">
        <f>Table1[[#This Row],[Grow Sales]]*Table1[[#This Row],[Discount_Rate]]</f>
        <v>3584</v>
      </c>
      <c r="P13" s="3">
        <f>Table1[[#This Row],[Grow Sales]]-Table1[[#This Row],[Discount Amount]]</f>
        <v>41216</v>
      </c>
      <c r="Q13" s="3" t="str">
        <f>TEXT(Table1[[#This Row],[Date]],"MMM-ddd-yyyy")</f>
        <v>Jan-Thu-2026</v>
      </c>
      <c r="R13" s="3" t="str">
        <f>IF(OR(Table1[[#This Row],[Status]]="Pending",Table1[[#This Row],[Status]]="Refunded"),"Review","OK")</f>
        <v>OK</v>
      </c>
      <c r="S13" s="3" t="str">
        <f>IF(Table1[[#This Row],[Net Sales]]&gt;=25000,"High",IF(Table1[[#This Row],[Net Sales]]&gt;=10000,"Medium","Low"))</f>
        <v>High</v>
      </c>
      <c r="T13" s="3" t="str">
        <f>IF(AND(Table1[[#This Row],[Quantity]]&gt;=5,Table1[[#This Row],[Discount_Rate]]&gt;=10%),"Review","OK")</f>
        <v>OK</v>
      </c>
      <c r="U13" s="3" t="str">
        <f>IF(OR(Table1[[#This Row],[Payment_Method]]="Cash",Table1[[#This Row],[Payment_Method]]="UPI"),"YES","NO")</f>
        <v>NO</v>
      </c>
      <c r="V13" s="3">
        <f>IFERROR(Table1[[#This Row],[Net Sales]]/Table1[[#This Row],[Quantity]],"check data")</f>
        <v>10304</v>
      </c>
      <c r="W13" s="3" t="str">
        <f>PROPER(TRIM(Table1[[#This Row],[Customer_Name]]))</f>
        <v>Kingfisher Store</v>
      </c>
      <c r="X13" s="3" t="str">
        <f>UPPER(TRIM(Table1[[#This Row],[Region]]))</f>
        <v>WEST</v>
      </c>
      <c r="Y13" s="3" t="str">
        <f>TEXT(Table1[[#This Row],[Date]],"MMMM-yyyy")</f>
        <v>January-2026</v>
      </c>
      <c r="Z13" s="3" t="str">
        <f>MID(Table1[[#This Row],[Transaction_ID]],4,6)</f>
        <v>1011</v>
      </c>
      <c r="AA13" s="3" t="str">
        <f>Table1[[#This Row],[Region]]&amp;"-"&amp;Table1[[#This Row],[Category]]</f>
        <v>West-Electronics</v>
      </c>
    </row>
    <row r="14" spans="1:30">
      <c r="A14" s="3" t="s">
        <v>115</v>
      </c>
      <c r="B14" s="4">
        <v>46082</v>
      </c>
      <c r="C14" s="3" t="s">
        <v>18</v>
      </c>
      <c r="D14" s="3" t="s">
        <v>11</v>
      </c>
      <c r="E14" s="3" t="s">
        <v>116</v>
      </c>
      <c r="F14" s="3" t="s">
        <v>4</v>
      </c>
      <c r="G14" s="3" t="s">
        <v>117</v>
      </c>
      <c r="H14" s="3">
        <v>7</v>
      </c>
      <c r="I14" s="5">
        <v>6400</v>
      </c>
      <c r="J14" s="6">
        <v>0.1</v>
      </c>
      <c r="K14" s="3" t="s">
        <v>15</v>
      </c>
      <c r="L14" s="3" t="s">
        <v>7</v>
      </c>
      <c r="M14" s="3" t="s">
        <v>23</v>
      </c>
      <c r="N14" s="3">
        <f>Table1[[#This Row],[Quantity]]*Table1[[#This Row],[Unit_Price_INR]]</f>
        <v>44800</v>
      </c>
      <c r="O14" s="3">
        <f>Table1[[#This Row],[Grow Sales]]*Table1[[#This Row],[Discount_Rate]]</f>
        <v>4480</v>
      </c>
      <c r="P14" s="3">
        <f>Table1[[#This Row],[Grow Sales]]-Table1[[#This Row],[Discount Amount]]</f>
        <v>40320</v>
      </c>
      <c r="Q14" s="3" t="str">
        <f>TEXT(Table1[[#This Row],[Date]],"MMM-ddd-yyyy")</f>
        <v>Mar-Sun-2026</v>
      </c>
      <c r="R14" s="3" t="str">
        <f>IF(OR(Table1[[#This Row],[Status]]="Pending",Table1[[#This Row],[Status]]="Refunded"),"Review","OK")</f>
        <v>OK</v>
      </c>
      <c r="S14" s="3" t="str">
        <f>IF(Table1[[#This Row],[Net Sales]]&gt;=25000,"High",IF(Table1[[#This Row],[Net Sales]]&gt;=10000,"Medium","Low"))</f>
        <v>High</v>
      </c>
      <c r="T14" s="3" t="str">
        <f>IF(AND(Table1[[#This Row],[Quantity]]&gt;=5,Table1[[#This Row],[Discount_Rate]]&gt;=10%),"Review","OK")</f>
        <v>Review</v>
      </c>
      <c r="U14" s="3" t="str">
        <f>IF(OR(Table1[[#This Row],[Payment_Method]]="Cash",Table1[[#This Row],[Payment_Method]]="UPI"),"YES","NO")</f>
        <v>NO</v>
      </c>
      <c r="V14" s="3">
        <f>IFERROR(Table1[[#This Row],[Net Sales]]/Table1[[#This Row],[Quantity]],"check data")</f>
        <v>5760</v>
      </c>
      <c r="W14" s="3" t="str">
        <f>PROPER(TRIM(Table1[[#This Row],[Customer_Name]]))</f>
        <v>Elm Retail</v>
      </c>
      <c r="X14" s="3" t="str">
        <f>UPPER(TRIM(Table1[[#This Row],[Region]]))</f>
        <v>WEST</v>
      </c>
      <c r="Y14" s="3" t="str">
        <f>TEXT(Table1[[#This Row],[Date]],"MMMM-yyyy")</f>
        <v>March-2026</v>
      </c>
      <c r="Z14" s="3" t="str">
        <f>MID(Table1[[#This Row],[Transaction_ID]],4,6)</f>
        <v>1031</v>
      </c>
      <c r="AA14" s="3" t="str">
        <f>Table1[[#This Row],[Region]]&amp;"-"&amp;Table1[[#This Row],[Category]]</f>
        <v>West-Electronics</v>
      </c>
    </row>
    <row r="15" spans="1:30" hidden="1">
      <c r="A15" s="7" t="s">
        <v>63</v>
      </c>
      <c r="B15" s="8">
        <v>46043</v>
      </c>
      <c r="C15" s="7" t="s">
        <v>10</v>
      </c>
      <c r="D15" s="7" t="s">
        <v>2</v>
      </c>
      <c r="E15" s="7" t="s">
        <v>64</v>
      </c>
      <c r="F15" s="7" t="s">
        <v>28</v>
      </c>
      <c r="G15" s="7" t="s">
        <v>65</v>
      </c>
      <c r="H15" s="7">
        <v>25</v>
      </c>
      <c r="I15" s="9">
        <v>180</v>
      </c>
      <c r="J15" s="10">
        <v>0</v>
      </c>
      <c r="K15" s="7" t="s">
        <v>22</v>
      </c>
      <c r="L15" s="7" t="s">
        <v>7</v>
      </c>
      <c r="M15" s="7" t="s">
        <v>39</v>
      </c>
      <c r="N15" s="3">
        <f>Table1[[#This Row],[Quantity]]*Table1[[#This Row],[Unit_Price_INR]]</f>
        <v>4500</v>
      </c>
      <c r="O15" s="3">
        <f>Table1[[#This Row],[Grow Sales]]*Table1[[#This Row],[Discount_Rate]]</f>
        <v>0</v>
      </c>
      <c r="P15" s="3">
        <f>Table1[[#This Row],[Grow Sales]]-Table1[[#This Row],[Discount Amount]]</f>
        <v>4500</v>
      </c>
      <c r="Q15" s="3" t="str">
        <f>TEXT(Table1[[#This Row],[Date]],"MMM-ddd-yyyy")</f>
        <v>Jan-Wed-2026</v>
      </c>
      <c r="R15" s="3" t="str">
        <f>IF(OR(Table1[[#This Row],[Status]]="Pending",Table1[[#This Row],[Status]]="Refunded"),"Review","OK")</f>
        <v>OK</v>
      </c>
      <c r="S15" s="3" t="str">
        <f>IF(Table1[[#This Row],[Net Sales]]&gt;=25000,"High",IF(Table1[[#This Row],[Net Sales]]&gt;=10000,"Medium","Low"))</f>
        <v>Low</v>
      </c>
      <c r="T15" s="3" t="str">
        <f>IF(AND(Table1[[#This Row],[Quantity]]&gt;=5,Table1[[#This Row],[Discount_Rate]]&gt;=10%),"Review","OK")</f>
        <v>OK</v>
      </c>
      <c r="U15" s="3" t="str">
        <f>IF(OR(Table1[[#This Row],[Payment_Method]]="Cash",Table1[[#This Row],[Payment_Method]]="UPI"),"YES","NO")</f>
        <v>YES</v>
      </c>
      <c r="V15" s="3">
        <f>IFERROR(Table1[[#This Row],[Net Sales]]/Table1[[#This Row],[Quantity]],"check data")</f>
        <v>180</v>
      </c>
      <c r="W15" s="3" t="str">
        <f>PROPER(TRIM(Table1[[#This Row],[Customer_Name]]))</f>
        <v>Nova Stores</v>
      </c>
      <c r="X15" s="3" t="str">
        <f>UPPER(TRIM(Table1[[#This Row],[Region]]))</f>
        <v>SOUTH</v>
      </c>
      <c r="Y15" s="3" t="str">
        <f>TEXT(Table1[[#This Row],[Date]],"MMMM-yyyy")</f>
        <v>January-2026</v>
      </c>
      <c r="Z15" s="3" t="str">
        <f>MID(Table1[[#This Row],[Transaction_ID]],4,6)</f>
        <v>1014</v>
      </c>
      <c r="AA15" s="3" t="str">
        <f>Table1[[#This Row],[Region]]&amp;"-"&amp;Table1[[#This Row],[Category]]</f>
        <v>South-Office</v>
      </c>
    </row>
    <row r="16" spans="1:30">
      <c r="A16" s="3" t="s">
        <v>145</v>
      </c>
      <c r="B16" s="4">
        <v>46102</v>
      </c>
      <c r="C16" s="3" t="s">
        <v>1</v>
      </c>
      <c r="D16" s="3" t="s">
        <v>2</v>
      </c>
      <c r="E16" s="3" t="s">
        <v>146</v>
      </c>
      <c r="F16" s="3" t="s">
        <v>4</v>
      </c>
      <c r="G16" s="3" t="s">
        <v>147</v>
      </c>
      <c r="H16" s="3">
        <v>9</v>
      </c>
      <c r="I16" s="5">
        <v>4200</v>
      </c>
      <c r="J16" s="6">
        <v>0.05</v>
      </c>
      <c r="K16" s="3" t="s">
        <v>6</v>
      </c>
      <c r="L16" s="3" t="s">
        <v>7</v>
      </c>
      <c r="M16" s="3" t="s">
        <v>8</v>
      </c>
      <c r="N16" s="3">
        <f>Table1[[#This Row],[Quantity]]*Table1[[#This Row],[Unit_Price_INR]]</f>
        <v>37800</v>
      </c>
      <c r="O16" s="3">
        <f>Table1[[#This Row],[Grow Sales]]*Table1[[#This Row],[Discount_Rate]]</f>
        <v>1890</v>
      </c>
      <c r="P16" s="3">
        <f>Table1[[#This Row],[Grow Sales]]-Table1[[#This Row],[Discount Amount]]</f>
        <v>35910</v>
      </c>
      <c r="Q16" s="3" t="str">
        <f>TEXT(Table1[[#This Row],[Date]],"MMM-ddd-yyyy")</f>
        <v>Mar-Sat-2026</v>
      </c>
      <c r="R16" s="3" t="str">
        <f>IF(OR(Table1[[#This Row],[Status]]="Pending",Table1[[#This Row],[Status]]="Refunded"),"Review","OK")</f>
        <v>OK</v>
      </c>
      <c r="S16" s="3" t="str">
        <f>IF(Table1[[#This Row],[Net Sales]]&gt;=25000,"High",IF(Table1[[#This Row],[Net Sales]]&gt;=10000,"Medium","Low"))</f>
        <v>High</v>
      </c>
      <c r="T16" s="3" t="str">
        <f>IF(AND(Table1[[#This Row],[Quantity]]&gt;=5,Table1[[#This Row],[Discount_Rate]]&gt;=10%),"Review","OK")</f>
        <v>OK</v>
      </c>
      <c r="U16" s="3" t="str">
        <f>IF(OR(Table1[[#This Row],[Payment_Method]]="Cash",Table1[[#This Row],[Payment_Method]]="UPI"),"YES","NO")</f>
        <v>YES</v>
      </c>
      <c r="V16" s="3">
        <f>IFERROR(Table1[[#This Row],[Net Sales]]/Table1[[#This Row],[Quantity]],"check data")</f>
        <v>3990</v>
      </c>
      <c r="W16" s="3" t="str">
        <f>PROPER(TRIM(Table1[[#This Row],[Customer_Name]]))</f>
        <v>Olive Shop</v>
      </c>
      <c r="X16" s="3" t="str">
        <f>UPPER(TRIM(Table1[[#This Row],[Region]]))</f>
        <v>NORTH</v>
      </c>
      <c r="Y16" s="3" t="str">
        <f>TEXT(Table1[[#This Row],[Date]],"MMMM-yyyy")</f>
        <v>March-2026</v>
      </c>
      <c r="Z16" s="3" t="str">
        <f>MID(Table1[[#This Row],[Transaction_ID]],4,6)</f>
        <v>1041</v>
      </c>
      <c r="AA16" s="3" t="str">
        <f>Table1[[#This Row],[Region]]&amp;"-"&amp;Table1[[#This Row],[Category]]</f>
        <v>North-Electronics</v>
      </c>
    </row>
    <row r="17" spans="1:27" hidden="1">
      <c r="A17" s="7" t="s">
        <v>69</v>
      </c>
      <c r="B17" s="8">
        <v>46047</v>
      </c>
      <c r="C17" s="7" t="s">
        <v>25</v>
      </c>
      <c r="D17" s="7" t="s">
        <v>11</v>
      </c>
      <c r="E17" s="7" t="s">
        <v>70</v>
      </c>
      <c r="F17" s="7" t="s">
        <v>34</v>
      </c>
      <c r="G17" s="7" t="s">
        <v>71</v>
      </c>
      <c r="H17" s="7">
        <v>7</v>
      </c>
      <c r="I17" s="9">
        <v>1500</v>
      </c>
      <c r="J17" s="10">
        <v>0.1</v>
      </c>
      <c r="K17" s="7" t="s">
        <v>6</v>
      </c>
      <c r="L17" s="7" t="s">
        <v>7</v>
      </c>
      <c r="M17" s="7" t="s">
        <v>31</v>
      </c>
      <c r="N17" s="3">
        <f>Table1[[#This Row],[Quantity]]*Table1[[#This Row],[Unit_Price_INR]]</f>
        <v>10500</v>
      </c>
      <c r="O17" s="3">
        <f>Table1[[#This Row],[Grow Sales]]*Table1[[#This Row],[Discount_Rate]]</f>
        <v>1050</v>
      </c>
      <c r="P17" s="3">
        <f>Table1[[#This Row],[Grow Sales]]-Table1[[#This Row],[Discount Amount]]</f>
        <v>9450</v>
      </c>
      <c r="Q17" s="3" t="str">
        <f>TEXT(Table1[[#This Row],[Date]],"MMM-ddd-yyyy")</f>
        <v>Jan-Sun-2026</v>
      </c>
      <c r="R17" s="3" t="str">
        <f>IF(OR(Table1[[#This Row],[Status]]="Pending",Table1[[#This Row],[Status]]="Refunded"),"Review","OK")</f>
        <v>OK</v>
      </c>
      <c r="S17" s="3" t="str">
        <f>IF(Table1[[#This Row],[Net Sales]]&gt;=25000,"High",IF(Table1[[#This Row],[Net Sales]]&gt;=10000,"Medium","Low"))</f>
        <v>Low</v>
      </c>
      <c r="T17" s="3" t="str">
        <f>IF(AND(Table1[[#This Row],[Quantity]]&gt;=5,Table1[[#This Row],[Discount_Rate]]&gt;=10%),"Review","OK")</f>
        <v>Review</v>
      </c>
      <c r="U17" s="3" t="str">
        <f>IF(OR(Table1[[#This Row],[Payment_Method]]="Cash",Table1[[#This Row],[Payment_Method]]="UPI"),"YES","NO")</f>
        <v>YES</v>
      </c>
      <c r="V17" s="3">
        <f>IFERROR(Table1[[#This Row],[Net Sales]]/Table1[[#This Row],[Quantity]],"check data")</f>
        <v>1350</v>
      </c>
      <c r="W17" s="3" t="str">
        <f>PROPER(TRIM(Table1[[#This Row],[Customer_Name]]))</f>
        <v>Prime Retail</v>
      </c>
      <c r="X17" s="3" t="str">
        <f>UPPER(TRIM(Table1[[#This Row],[Region]]))</f>
        <v>EAST</v>
      </c>
      <c r="Y17" s="3" t="str">
        <f>TEXT(Table1[[#This Row],[Date]],"MMMM-yyyy")</f>
        <v>January-2026</v>
      </c>
      <c r="Z17" s="3" t="str">
        <f>MID(Table1[[#This Row],[Transaction_ID]],4,6)</f>
        <v>1016</v>
      </c>
      <c r="AA17" s="3" t="str">
        <f>Table1[[#This Row],[Region]]&amp;"-"&amp;Table1[[#This Row],[Category]]</f>
        <v>East-Fashion</v>
      </c>
    </row>
    <row r="18" spans="1:27" hidden="1">
      <c r="A18" s="3" t="s">
        <v>72</v>
      </c>
      <c r="B18" s="4">
        <v>46049</v>
      </c>
      <c r="C18" s="3" t="s">
        <v>1</v>
      </c>
      <c r="D18" s="3" t="s">
        <v>2</v>
      </c>
      <c r="E18" s="3" t="s">
        <v>73</v>
      </c>
      <c r="F18" s="3" t="s">
        <v>20</v>
      </c>
      <c r="G18" s="3" t="s">
        <v>74</v>
      </c>
      <c r="H18" s="3">
        <v>15</v>
      </c>
      <c r="I18" s="5">
        <v>320</v>
      </c>
      <c r="J18" s="6">
        <v>0.05</v>
      </c>
      <c r="K18" s="3" t="s">
        <v>22</v>
      </c>
      <c r="L18" s="3" t="s">
        <v>7</v>
      </c>
      <c r="M18" s="3" t="s">
        <v>8</v>
      </c>
      <c r="N18" s="3">
        <f>Table1[[#This Row],[Quantity]]*Table1[[#This Row],[Unit_Price_INR]]</f>
        <v>4800</v>
      </c>
      <c r="O18" s="3">
        <f>Table1[[#This Row],[Grow Sales]]*Table1[[#This Row],[Discount_Rate]]</f>
        <v>240</v>
      </c>
      <c r="P18" s="3">
        <f>Table1[[#This Row],[Grow Sales]]-Table1[[#This Row],[Discount Amount]]</f>
        <v>4560</v>
      </c>
      <c r="Q18" s="3" t="str">
        <f>TEXT(Table1[[#This Row],[Date]],"MMM-ddd-yyyy")</f>
        <v>Jan-Tue-2026</v>
      </c>
      <c r="R18" s="3" t="str">
        <f>IF(OR(Table1[[#This Row],[Status]]="Pending",Table1[[#This Row],[Status]]="Refunded"),"Review","OK")</f>
        <v>OK</v>
      </c>
      <c r="S18" s="3" t="str">
        <f>IF(Table1[[#This Row],[Net Sales]]&gt;=25000,"High",IF(Table1[[#This Row],[Net Sales]]&gt;=10000,"Medium","Low"))</f>
        <v>Low</v>
      </c>
      <c r="T18" s="3" t="str">
        <f>IF(AND(Table1[[#This Row],[Quantity]]&gt;=5,Table1[[#This Row],[Discount_Rate]]&gt;=10%),"Review","OK")</f>
        <v>OK</v>
      </c>
      <c r="U18" s="3" t="str">
        <f>IF(OR(Table1[[#This Row],[Payment_Method]]="Cash",Table1[[#This Row],[Payment_Method]]="UPI"),"YES","NO")</f>
        <v>YES</v>
      </c>
      <c r="V18" s="3">
        <f>IFERROR(Table1[[#This Row],[Net Sales]]/Table1[[#This Row],[Quantity]],"check data")</f>
        <v>304</v>
      </c>
      <c r="W18" s="3" t="str">
        <f>PROPER(TRIM(Table1[[#This Row],[Customer_Name]]))</f>
        <v>Quick Buy</v>
      </c>
      <c r="X18" s="3" t="str">
        <f>UPPER(TRIM(Table1[[#This Row],[Region]]))</f>
        <v>NORTH</v>
      </c>
      <c r="Y18" s="3" t="str">
        <f>TEXT(Table1[[#This Row],[Date]],"MMMM-yyyy")</f>
        <v>January-2026</v>
      </c>
      <c r="Z18" s="3" t="str">
        <f>MID(Table1[[#This Row],[Transaction_ID]],4,6)</f>
        <v>1017</v>
      </c>
      <c r="AA18" s="3" t="str">
        <f>Table1[[#This Row],[Region]]&amp;"-"&amp;Table1[[#This Row],[Category]]</f>
        <v>North-Grocery</v>
      </c>
    </row>
    <row r="19" spans="1:27" hidden="1">
      <c r="A19" s="7" t="s">
        <v>75</v>
      </c>
      <c r="B19" s="8">
        <v>46051</v>
      </c>
      <c r="C19" s="7" t="s">
        <v>10</v>
      </c>
      <c r="D19" s="7" t="s">
        <v>26</v>
      </c>
      <c r="E19" s="7" t="s">
        <v>76</v>
      </c>
      <c r="F19" s="7" t="s">
        <v>13</v>
      </c>
      <c r="G19" s="7" t="s">
        <v>77</v>
      </c>
      <c r="H19" s="7">
        <v>2</v>
      </c>
      <c r="I19" s="9">
        <v>12500</v>
      </c>
      <c r="J19" s="10">
        <v>0.08</v>
      </c>
      <c r="K19" s="7" t="s">
        <v>30</v>
      </c>
      <c r="L19" s="7" t="s">
        <v>43</v>
      </c>
      <c r="M19" s="7" t="s">
        <v>16</v>
      </c>
      <c r="N19" s="3">
        <f>Table1[[#This Row],[Quantity]]*Table1[[#This Row],[Unit_Price_INR]]</f>
        <v>25000</v>
      </c>
      <c r="O19" s="3">
        <f>Table1[[#This Row],[Grow Sales]]*Table1[[#This Row],[Discount_Rate]]</f>
        <v>2000</v>
      </c>
      <c r="P19" s="3">
        <f>Table1[[#This Row],[Grow Sales]]-Table1[[#This Row],[Discount Amount]]</f>
        <v>23000</v>
      </c>
      <c r="Q19" s="3" t="str">
        <f>TEXT(Table1[[#This Row],[Date]],"MMM-ddd-yyyy")</f>
        <v>Jan-Thu-2026</v>
      </c>
      <c r="R19" s="3" t="str">
        <f>IF(OR(Table1[[#This Row],[Status]]="Pending",Table1[[#This Row],[Status]]="Refunded"),"Review","OK")</f>
        <v>Review</v>
      </c>
      <c r="S19" s="3" t="str">
        <f>IF(Table1[[#This Row],[Net Sales]]&gt;=25000,"High",IF(Table1[[#This Row],[Net Sales]]&gt;=10000,"Medium","Low"))</f>
        <v>Medium</v>
      </c>
      <c r="T19" s="3" t="str">
        <f>IF(AND(Table1[[#This Row],[Quantity]]&gt;=5,Table1[[#This Row],[Discount_Rate]]&gt;=10%),"Review","OK")</f>
        <v>OK</v>
      </c>
      <c r="U19" s="3" t="str">
        <f>IF(OR(Table1[[#This Row],[Payment_Method]]="Cash",Table1[[#This Row],[Payment_Method]]="UPI"),"YES","NO")</f>
        <v>NO</v>
      </c>
      <c r="V19" s="3">
        <f>IFERROR(Table1[[#This Row],[Net Sales]]/Table1[[#This Row],[Quantity]],"check data")</f>
        <v>11500</v>
      </c>
      <c r="W19" s="3" t="str">
        <f>PROPER(TRIM(Table1[[#This Row],[Customer_Name]]))</f>
        <v>Royal Mart</v>
      </c>
      <c r="X19" s="3" t="str">
        <f>UPPER(TRIM(Table1[[#This Row],[Region]]))</f>
        <v>SOUTH</v>
      </c>
      <c r="Y19" s="3" t="str">
        <f>TEXT(Table1[[#This Row],[Date]],"MMMM-yyyy")</f>
        <v>January-2026</v>
      </c>
      <c r="Z19" s="3" t="str">
        <f>MID(Table1[[#This Row],[Transaction_ID]],4,6)</f>
        <v>1018</v>
      </c>
      <c r="AA19" s="3" t="str">
        <f>Table1[[#This Row],[Region]]&amp;"-"&amp;Table1[[#This Row],[Category]]</f>
        <v>South-Home</v>
      </c>
    </row>
    <row r="20" spans="1:27">
      <c r="A20" s="3" t="s">
        <v>139</v>
      </c>
      <c r="B20" s="4">
        <v>46098</v>
      </c>
      <c r="C20" s="3" t="s">
        <v>18</v>
      </c>
      <c r="D20" s="3" t="s">
        <v>26</v>
      </c>
      <c r="E20" s="3" t="s">
        <v>140</v>
      </c>
      <c r="F20" s="3" t="s">
        <v>28</v>
      </c>
      <c r="G20" s="3" t="s">
        <v>141</v>
      </c>
      <c r="H20" s="3">
        <v>3</v>
      </c>
      <c r="I20" s="5">
        <v>11200</v>
      </c>
      <c r="J20" s="6">
        <v>0.04</v>
      </c>
      <c r="K20" s="3" t="s">
        <v>30</v>
      </c>
      <c r="L20" s="3" t="s">
        <v>7</v>
      </c>
      <c r="M20" s="3" t="s">
        <v>23</v>
      </c>
      <c r="N20" s="3">
        <f>Table1[[#This Row],[Quantity]]*Table1[[#This Row],[Unit_Price_INR]]</f>
        <v>33600</v>
      </c>
      <c r="O20" s="3">
        <f>Table1[[#This Row],[Grow Sales]]*Table1[[#This Row],[Discount_Rate]]</f>
        <v>1344</v>
      </c>
      <c r="P20" s="3">
        <f>Table1[[#This Row],[Grow Sales]]-Table1[[#This Row],[Discount Amount]]</f>
        <v>32256</v>
      </c>
      <c r="Q20" s="3" t="str">
        <f>TEXT(Table1[[#This Row],[Date]],"MMM-ddd-yyyy")</f>
        <v>Mar-Tue-2026</v>
      </c>
      <c r="R20" s="3" t="str">
        <f>IF(OR(Table1[[#This Row],[Status]]="Pending",Table1[[#This Row],[Status]]="Refunded"),"Review","OK")</f>
        <v>OK</v>
      </c>
      <c r="S20" s="3" t="str">
        <f>IF(Table1[[#This Row],[Net Sales]]&gt;=25000,"High",IF(Table1[[#This Row],[Net Sales]]&gt;=10000,"Medium","Low"))</f>
        <v>High</v>
      </c>
      <c r="T20" s="3" t="str">
        <f>IF(AND(Table1[[#This Row],[Quantity]]&gt;=5,Table1[[#This Row],[Discount_Rate]]&gt;=10%),"Review","OK")</f>
        <v>OK</v>
      </c>
      <c r="U20" s="3" t="str">
        <f>IF(OR(Table1[[#This Row],[Payment_Method]]="Cash",Table1[[#This Row],[Payment_Method]]="UPI"),"YES","NO")</f>
        <v>NO</v>
      </c>
      <c r="V20" s="3">
        <f>IFERROR(Table1[[#This Row],[Net Sales]]/Table1[[#This Row],[Quantity]],"check data")</f>
        <v>10752</v>
      </c>
      <c r="W20" s="3" t="str">
        <f>PROPER(TRIM(Table1[[#This Row],[Customer_Name]]))</f>
        <v>Maple Traders</v>
      </c>
      <c r="X20" s="3" t="str">
        <f>UPPER(TRIM(Table1[[#This Row],[Region]]))</f>
        <v>WEST</v>
      </c>
      <c r="Y20" s="3" t="str">
        <f>TEXT(Table1[[#This Row],[Date]],"MMMM-yyyy")</f>
        <v>March-2026</v>
      </c>
      <c r="Z20" s="3" t="str">
        <f>MID(Table1[[#This Row],[Transaction_ID]],4,6)</f>
        <v>1039</v>
      </c>
      <c r="AA20" s="3" t="str">
        <f>Table1[[#This Row],[Region]]&amp;"-"&amp;Table1[[#This Row],[Category]]</f>
        <v>West-Office</v>
      </c>
    </row>
    <row r="21" spans="1:27">
      <c r="A21" s="3" t="s">
        <v>90</v>
      </c>
      <c r="B21" s="4">
        <v>46061</v>
      </c>
      <c r="C21" s="3" t="s">
        <v>18</v>
      </c>
      <c r="D21" s="3" t="s">
        <v>2</v>
      </c>
      <c r="E21" s="3" t="s">
        <v>91</v>
      </c>
      <c r="F21" s="3" t="s">
        <v>13</v>
      </c>
      <c r="G21" s="3" t="s">
        <v>92</v>
      </c>
      <c r="H21" s="3">
        <v>2</v>
      </c>
      <c r="I21" s="5">
        <v>16800</v>
      </c>
      <c r="J21" s="6">
        <v>7.0000000000000007E-2</v>
      </c>
      <c r="K21" s="3" t="s">
        <v>6</v>
      </c>
      <c r="L21" s="3" t="s">
        <v>7</v>
      </c>
      <c r="M21" s="3" t="s">
        <v>23</v>
      </c>
      <c r="N21" s="3">
        <f>Table1[[#This Row],[Quantity]]*Table1[[#This Row],[Unit_Price_INR]]</f>
        <v>33600</v>
      </c>
      <c r="O21" s="3">
        <f>Table1[[#This Row],[Grow Sales]]*Table1[[#This Row],[Discount_Rate]]</f>
        <v>2352</v>
      </c>
      <c r="P21" s="3">
        <f>Table1[[#This Row],[Grow Sales]]-Table1[[#This Row],[Discount Amount]]</f>
        <v>31248</v>
      </c>
      <c r="Q21" s="3" t="str">
        <f>TEXT(Table1[[#This Row],[Date]],"MMM-ddd-yyyy")</f>
        <v>Feb-Sun-2026</v>
      </c>
      <c r="R21" s="3" t="str">
        <f>IF(OR(Table1[[#This Row],[Status]]="Pending",Table1[[#This Row],[Status]]="Refunded"),"Review","OK")</f>
        <v>OK</v>
      </c>
      <c r="S21" s="3" t="str">
        <f>IF(Table1[[#This Row],[Net Sales]]&gt;=25000,"High",IF(Table1[[#This Row],[Net Sales]]&gt;=10000,"Medium","Low"))</f>
        <v>High</v>
      </c>
      <c r="T21" s="3" t="str">
        <f>IF(AND(Table1[[#This Row],[Quantity]]&gt;=5,Table1[[#This Row],[Discount_Rate]]&gt;=10%),"Review","OK")</f>
        <v>OK</v>
      </c>
      <c r="U21" s="3" t="str">
        <f>IF(OR(Table1[[#This Row],[Payment_Method]]="Cash",Table1[[#This Row],[Payment_Method]]="UPI"),"YES","NO")</f>
        <v>YES</v>
      </c>
      <c r="V21" s="3">
        <f>IFERROR(Table1[[#This Row],[Net Sales]]/Table1[[#This Row],[Quantity]],"check data")</f>
        <v>15624</v>
      </c>
      <c r="W21" s="3" t="str">
        <f>PROPER(TRIM(Table1[[#This Row],[Customer_Name]]))</f>
        <v>Willow Mart</v>
      </c>
      <c r="X21" s="3" t="str">
        <f>UPPER(TRIM(Table1[[#This Row],[Region]]))</f>
        <v>WEST</v>
      </c>
      <c r="Y21" s="3" t="str">
        <f>TEXT(Table1[[#This Row],[Date]],"MMMM-yyyy")</f>
        <v>February-2026</v>
      </c>
      <c r="Z21" s="3" t="str">
        <f>MID(Table1[[#This Row],[Transaction_ID]],4,6)</f>
        <v>1023</v>
      </c>
      <c r="AA21" s="3" t="str">
        <f>Table1[[#This Row],[Region]]&amp;"-"&amp;Table1[[#This Row],[Category]]</f>
        <v>West-Home</v>
      </c>
    </row>
    <row r="22" spans="1:27">
      <c r="A22" s="3" t="s">
        <v>84</v>
      </c>
      <c r="B22" s="4">
        <v>46058</v>
      </c>
      <c r="C22" s="3" t="s">
        <v>1</v>
      </c>
      <c r="D22" s="3" t="s">
        <v>26</v>
      </c>
      <c r="E22" s="3" t="s">
        <v>85</v>
      </c>
      <c r="F22" s="3" t="s">
        <v>28</v>
      </c>
      <c r="G22" s="3" t="s">
        <v>86</v>
      </c>
      <c r="H22" s="3">
        <v>3</v>
      </c>
      <c r="I22" s="5">
        <v>9800</v>
      </c>
      <c r="J22" s="6">
        <v>0.05</v>
      </c>
      <c r="K22" s="3" t="s">
        <v>30</v>
      </c>
      <c r="L22" s="3" t="s">
        <v>7</v>
      </c>
      <c r="M22" s="3" t="s">
        <v>8</v>
      </c>
      <c r="N22" s="3">
        <f>Table1[[#This Row],[Quantity]]*Table1[[#This Row],[Unit_Price_INR]]</f>
        <v>29400</v>
      </c>
      <c r="O22" s="3">
        <f>Table1[[#This Row],[Grow Sales]]*Table1[[#This Row],[Discount_Rate]]</f>
        <v>1470</v>
      </c>
      <c r="P22" s="3">
        <f>Table1[[#This Row],[Grow Sales]]-Table1[[#This Row],[Discount Amount]]</f>
        <v>27930</v>
      </c>
      <c r="Q22" s="3" t="str">
        <f>TEXT(Table1[[#This Row],[Date]],"MMM-ddd-yyyy")</f>
        <v>Feb-Thu-2026</v>
      </c>
      <c r="R22" s="3" t="str">
        <f>IF(OR(Table1[[#This Row],[Status]]="Pending",Table1[[#This Row],[Status]]="Refunded"),"Review","OK")</f>
        <v>OK</v>
      </c>
      <c r="S22" s="3" t="str">
        <f>IF(Table1[[#This Row],[Net Sales]]&gt;=25000,"High",IF(Table1[[#This Row],[Net Sales]]&gt;=10000,"Medium","Low"))</f>
        <v>High</v>
      </c>
      <c r="T22" s="3" t="str">
        <f>IF(AND(Table1[[#This Row],[Quantity]]&gt;=5,Table1[[#This Row],[Discount_Rate]]&gt;=10%),"Review","OK")</f>
        <v>OK</v>
      </c>
      <c r="U22" s="3" t="str">
        <f>IF(OR(Table1[[#This Row],[Payment_Method]]="Cash",Table1[[#This Row],[Payment_Method]]="UPI"),"YES","NO")</f>
        <v>NO</v>
      </c>
      <c r="V22" s="3">
        <f>IFERROR(Table1[[#This Row],[Net Sales]]/Table1[[#This Row],[Quantity]],"check data")</f>
        <v>9310</v>
      </c>
      <c r="W22" s="3" t="str">
        <f>PROPER(TRIM(Table1[[#This Row],[Customer_Name]]))</f>
        <v>Unity Traders</v>
      </c>
      <c r="X22" s="3" t="str">
        <f>UPPER(TRIM(Table1[[#This Row],[Region]]))</f>
        <v>NORTH</v>
      </c>
      <c r="Y22" s="3" t="str">
        <f>TEXT(Table1[[#This Row],[Date]],"MMMM-yyyy")</f>
        <v>February-2026</v>
      </c>
      <c r="Z22" s="3" t="str">
        <f>MID(Table1[[#This Row],[Transaction_ID]],4,6)</f>
        <v>1021</v>
      </c>
      <c r="AA22" s="3" t="str">
        <f>Table1[[#This Row],[Region]]&amp;"-"&amp;Table1[[#This Row],[Category]]</f>
        <v>North-Office</v>
      </c>
    </row>
    <row r="23" spans="1:27" hidden="1">
      <c r="A23" s="7" t="s">
        <v>87</v>
      </c>
      <c r="B23" s="8">
        <v>46060</v>
      </c>
      <c r="C23" s="7" t="s">
        <v>10</v>
      </c>
      <c r="D23" s="7" t="s">
        <v>11</v>
      </c>
      <c r="E23" s="7" t="s">
        <v>88</v>
      </c>
      <c r="F23" s="7" t="s">
        <v>20</v>
      </c>
      <c r="G23" s="7" t="s">
        <v>89</v>
      </c>
      <c r="H23" s="7">
        <v>10</v>
      </c>
      <c r="I23" s="9">
        <v>480</v>
      </c>
      <c r="J23" s="10">
        <v>0</v>
      </c>
      <c r="K23" s="7" t="s">
        <v>15</v>
      </c>
      <c r="L23" s="7" t="s">
        <v>7</v>
      </c>
      <c r="M23" s="7" t="s">
        <v>39</v>
      </c>
      <c r="N23" s="3">
        <f>Table1[[#This Row],[Quantity]]*Table1[[#This Row],[Unit_Price_INR]]</f>
        <v>4800</v>
      </c>
      <c r="O23" s="3">
        <f>Table1[[#This Row],[Grow Sales]]*Table1[[#This Row],[Discount_Rate]]</f>
        <v>0</v>
      </c>
      <c r="P23" s="3">
        <f>Table1[[#This Row],[Grow Sales]]-Table1[[#This Row],[Discount Amount]]</f>
        <v>4800</v>
      </c>
      <c r="Q23" s="3" t="str">
        <f>TEXT(Table1[[#This Row],[Date]],"MMM-ddd-yyyy")</f>
        <v>Feb-Sat-2026</v>
      </c>
      <c r="R23" s="3" t="str">
        <f>IF(OR(Table1[[#This Row],[Status]]="Pending",Table1[[#This Row],[Status]]="Refunded"),"Review","OK")</f>
        <v>OK</v>
      </c>
      <c r="S23" s="3" t="str">
        <f>IF(Table1[[#This Row],[Net Sales]]&gt;=25000,"High",IF(Table1[[#This Row],[Net Sales]]&gt;=10000,"Medium","Low"))</f>
        <v>Low</v>
      </c>
      <c r="T23" s="3" t="str">
        <f>IF(AND(Table1[[#This Row],[Quantity]]&gt;=5,Table1[[#This Row],[Discount_Rate]]&gt;=10%),"Review","OK")</f>
        <v>OK</v>
      </c>
      <c r="U23" s="3" t="str">
        <f>IF(OR(Table1[[#This Row],[Payment_Method]]="Cash",Table1[[#This Row],[Payment_Method]]="UPI"),"YES","NO")</f>
        <v>NO</v>
      </c>
      <c r="V23" s="3">
        <f>IFERROR(Table1[[#This Row],[Net Sales]]/Table1[[#This Row],[Quantity]],"check data")</f>
        <v>480</v>
      </c>
      <c r="W23" s="3" t="str">
        <f>PROPER(TRIM(Table1[[#This Row],[Customer_Name]]))</f>
        <v>Value Hub</v>
      </c>
      <c r="X23" s="3" t="str">
        <f>UPPER(TRIM(Table1[[#This Row],[Region]]))</f>
        <v>SOUTH</v>
      </c>
      <c r="Y23" s="3" t="str">
        <f>TEXT(Table1[[#This Row],[Date]],"MMMM-yyyy")</f>
        <v>February-2026</v>
      </c>
      <c r="Z23" s="3" t="str">
        <f>MID(Table1[[#This Row],[Transaction_ID]],4,6)</f>
        <v>1022</v>
      </c>
      <c r="AA23" s="3" t="str">
        <f>Table1[[#This Row],[Region]]&amp;"-"&amp;Table1[[#This Row],[Category]]</f>
        <v>South-Grocery</v>
      </c>
    </row>
    <row r="24" spans="1:27">
      <c r="A24" s="3" t="s">
        <v>47</v>
      </c>
      <c r="B24" s="4">
        <v>46034</v>
      </c>
      <c r="C24" s="3" t="s">
        <v>1</v>
      </c>
      <c r="D24" s="3" t="s">
        <v>26</v>
      </c>
      <c r="E24" s="3" t="s">
        <v>48</v>
      </c>
      <c r="F24" s="3" t="s">
        <v>13</v>
      </c>
      <c r="G24" s="3" t="s">
        <v>49</v>
      </c>
      <c r="H24" s="3">
        <v>2</v>
      </c>
      <c r="I24" s="5">
        <v>14500</v>
      </c>
      <c r="J24" s="6">
        <v>0.05</v>
      </c>
      <c r="K24" s="3" t="s">
        <v>30</v>
      </c>
      <c r="L24" s="3" t="s">
        <v>7</v>
      </c>
      <c r="M24" s="3" t="s">
        <v>16</v>
      </c>
      <c r="N24" s="3">
        <f>Table1[[#This Row],[Quantity]]*Table1[[#This Row],[Unit_Price_INR]]</f>
        <v>29000</v>
      </c>
      <c r="O24" s="3">
        <f>Table1[[#This Row],[Grow Sales]]*Table1[[#This Row],[Discount_Rate]]</f>
        <v>1450</v>
      </c>
      <c r="P24" s="3">
        <f>Table1[[#This Row],[Grow Sales]]-Table1[[#This Row],[Discount Amount]]</f>
        <v>27550</v>
      </c>
      <c r="Q24" s="3" t="str">
        <f>TEXT(Table1[[#This Row],[Date]],"MMM-ddd-yyyy")</f>
        <v>Jan-Mon-2026</v>
      </c>
      <c r="R24" s="3" t="str">
        <f>IF(OR(Table1[[#This Row],[Status]]="Pending",Table1[[#This Row],[Status]]="Refunded"),"Review","OK")</f>
        <v>OK</v>
      </c>
      <c r="S24" s="3" t="str">
        <f>IF(Table1[[#This Row],[Net Sales]]&gt;=25000,"High",IF(Table1[[#This Row],[Net Sales]]&gt;=10000,"Medium","Low"))</f>
        <v>High</v>
      </c>
      <c r="T24" s="3" t="str">
        <f>IF(AND(Table1[[#This Row],[Quantity]]&gt;=5,Table1[[#This Row],[Discount_Rate]]&gt;=10%),"Review","OK")</f>
        <v>OK</v>
      </c>
      <c r="U24" s="3" t="str">
        <f>IF(OR(Table1[[#This Row],[Payment_Method]]="Cash",Table1[[#This Row],[Payment_Method]]="UPI"),"YES","NO")</f>
        <v>NO</v>
      </c>
      <c r="V24" s="3">
        <f>IFERROR(Table1[[#This Row],[Net Sales]]/Table1[[#This Row],[Quantity]],"check data")</f>
        <v>13775</v>
      </c>
      <c r="W24" s="3" t="str">
        <f>PROPER(TRIM(Table1[[#This Row],[Customer_Name]]))</f>
        <v>Indigo Retailers</v>
      </c>
      <c r="X24" s="3" t="str">
        <f>UPPER(TRIM(Table1[[#This Row],[Region]]))</f>
        <v>NORTH</v>
      </c>
      <c r="Y24" s="3" t="str">
        <f>TEXT(Table1[[#This Row],[Date]],"MMMM-yyyy")</f>
        <v>January-2026</v>
      </c>
      <c r="Z24" s="3" t="str">
        <f>MID(Table1[[#This Row],[Transaction_ID]],4,6)</f>
        <v>1009</v>
      </c>
      <c r="AA24" s="3" t="str">
        <f>Table1[[#This Row],[Region]]&amp;"-"&amp;Table1[[#This Row],[Category]]</f>
        <v>North-Home</v>
      </c>
    </row>
    <row r="25" spans="1:27">
      <c r="A25" s="3" t="s">
        <v>199</v>
      </c>
      <c r="B25" s="4">
        <v>46140</v>
      </c>
      <c r="C25" s="3" t="s">
        <v>18</v>
      </c>
      <c r="D25" s="3" t="s">
        <v>2</v>
      </c>
      <c r="E25" s="3" t="s">
        <v>200</v>
      </c>
      <c r="F25" s="3" t="s">
        <v>4</v>
      </c>
      <c r="G25" s="3" t="s">
        <v>201</v>
      </c>
      <c r="H25" s="3">
        <v>5</v>
      </c>
      <c r="I25" s="5">
        <v>5300</v>
      </c>
      <c r="J25" s="6">
        <v>0.08</v>
      </c>
      <c r="K25" s="3" t="s">
        <v>6</v>
      </c>
      <c r="L25" s="3" t="s">
        <v>7</v>
      </c>
      <c r="M25" s="3" t="s">
        <v>23</v>
      </c>
      <c r="N25" s="3">
        <f>Table1[[#This Row],[Quantity]]*Table1[[#This Row],[Unit_Price_INR]]</f>
        <v>26500</v>
      </c>
      <c r="O25" s="3">
        <f>Table1[[#This Row],[Grow Sales]]*Table1[[#This Row],[Discount_Rate]]</f>
        <v>2120</v>
      </c>
      <c r="P25" s="3">
        <f>Table1[[#This Row],[Grow Sales]]-Table1[[#This Row],[Discount Amount]]</f>
        <v>24380</v>
      </c>
      <c r="Q25" s="3" t="str">
        <f>TEXT(Table1[[#This Row],[Date]],"MMM-ddd-yyyy")</f>
        <v>Apr-Tue-2026</v>
      </c>
      <c r="R25" s="3" t="str">
        <f>IF(OR(Table1[[#This Row],[Status]]="Pending",Table1[[#This Row],[Status]]="Refunded"),"Review","OK")</f>
        <v>OK</v>
      </c>
      <c r="S25" s="3" t="str">
        <f>IF(Table1[[#This Row],[Net Sales]]&gt;=25000,"High",IF(Table1[[#This Row],[Net Sales]]&gt;=10000,"Medium","Low"))</f>
        <v>Medium</v>
      </c>
      <c r="T25" s="3" t="str">
        <f>IF(AND(Table1[[#This Row],[Quantity]]&gt;=5,Table1[[#This Row],[Discount_Rate]]&gt;=10%),"Review","OK")</f>
        <v>OK</v>
      </c>
      <c r="U25" s="3" t="str">
        <f>IF(OR(Table1[[#This Row],[Payment_Method]]="Cash",Table1[[#This Row],[Payment_Method]]="UPI"),"YES","NO")</f>
        <v>YES</v>
      </c>
      <c r="V25" s="3">
        <f>IFERROR(Table1[[#This Row],[Net Sales]]/Table1[[#This Row],[Quantity]],"check data")</f>
        <v>4876</v>
      </c>
      <c r="W25" s="3" t="str">
        <f>PROPER(TRIM(Table1[[#This Row],[Customer_Name]]))</f>
        <v>Glacier Market</v>
      </c>
      <c r="X25" s="3" t="str">
        <f>UPPER(TRIM(Table1[[#This Row],[Region]]))</f>
        <v>WEST</v>
      </c>
      <c r="Y25" s="3" t="str">
        <f>TEXT(Table1[[#This Row],[Date]],"MMMM-yyyy")</f>
        <v>April-2026</v>
      </c>
      <c r="Z25" s="3" t="str">
        <f>MID(Table1[[#This Row],[Transaction_ID]],4,6)</f>
        <v>1059</v>
      </c>
      <c r="AA25" s="3" t="str">
        <f>Table1[[#This Row],[Region]]&amp;"-"&amp;Table1[[#This Row],[Category]]</f>
        <v>West-Electronics</v>
      </c>
    </row>
    <row r="26" spans="1:27">
      <c r="A26" s="3" t="s">
        <v>60</v>
      </c>
      <c r="B26" s="4">
        <v>46041</v>
      </c>
      <c r="C26" s="3" t="s">
        <v>1</v>
      </c>
      <c r="D26" s="3" t="s">
        <v>11</v>
      </c>
      <c r="E26" s="3" t="s">
        <v>61</v>
      </c>
      <c r="F26" s="3" t="s">
        <v>13</v>
      </c>
      <c r="G26" s="3" t="s">
        <v>62</v>
      </c>
      <c r="H26" s="3">
        <v>3</v>
      </c>
      <c r="I26" s="5">
        <v>8900</v>
      </c>
      <c r="J26" s="6">
        <v>0.1</v>
      </c>
      <c r="K26" s="3" t="s">
        <v>15</v>
      </c>
      <c r="L26" s="3" t="s">
        <v>7</v>
      </c>
      <c r="M26" s="3" t="s">
        <v>8</v>
      </c>
      <c r="N26" s="3">
        <f>Table1[[#This Row],[Quantity]]*Table1[[#This Row],[Unit_Price_INR]]</f>
        <v>26700</v>
      </c>
      <c r="O26" s="3">
        <f>Table1[[#This Row],[Grow Sales]]*Table1[[#This Row],[Discount_Rate]]</f>
        <v>2670</v>
      </c>
      <c r="P26" s="3">
        <f>Table1[[#This Row],[Grow Sales]]-Table1[[#This Row],[Discount Amount]]</f>
        <v>24030</v>
      </c>
      <c r="Q26" s="3" t="str">
        <f>TEXT(Table1[[#This Row],[Date]],"MMM-ddd-yyyy")</f>
        <v>Jan-Mon-2026</v>
      </c>
      <c r="R26" s="3" t="str">
        <f>IF(OR(Table1[[#This Row],[Status]]="Pending",Table1[[#This Row],[Status]]="Refunded"),"Review","OK")</f>
        <v>OK</v>
      </c>
      <c r="S26" s="3" t="str">
        <f>IF(Table1[[#This Row],[Net Sales]]&gt;=25000,"High",IF(Table1[[#This Row],[Net Sales]]&gt;=10000,"Medium","Low"))</f>
        <v>Medium</v>
      </c>
      <c r="T26" s="3" t="str">
        <f>IF(AND(Table1[[#This Row],[Quantity]]&gt;=5,Table1[[#This Row],[Discount_Rate]]&gt;=10%),"Review","OK")</f>
        <v>OK</v>
      </c>
      <c r="U26" s="3" t="str">
        <f>IF(OR(Table1[[#This Row],[Payment_Method]]="Cash",Table1[[#This Row],[Payment_Method]]="UPI"),"YES","NO")</f>
        <v>NO</v>
      </c>
      <c r="V26" s="3">
        <f>IFERROR(Table1[[#This Row],[Net Sales]]/Table1[[#This Row],[Quantity]],"check data")</f>
        <v>8010</v>
      </c>
      <c r="W26" s="3" t="str">
        <f>PROPER(TRIM(Table1[[#This Row],[Customer_Name]]))</f>
        <v>Metro Shop</v>
      </c>
      <c r="X26" s="3" t="str">
        <f>UPPER(TRIM(Table1[[#This Row],[Region]]))</f>
        <v>NORTH</v>
      </c>
      <c r="Y26" s="3" t="str">
        <f>TEXT(Table1[[#This Row],[Date]],"MMMM-yyyy")</f>
        <v>January-2026</v>
      </c>
      <c r="Z26" s="3" t="str">
        <f>MID(Table1[[#This Row],[Transaction_ID]],4,6)</f>
        <v>1013</v>
      </c>
      <c r="AA26" s="3" t="str">
        <f>Table1[[#This Row],[Region]]&amp;"-"&amp;Table1[[#This Row],[Category]]</f>
        <v>North-Home</v>
      </c>
    </row>
    <row r="27" spans="1:27" hidden="1">
      <c r="A27" s="7" t="s">
        <v>99</v>
      </c>
      <c r="B27" s="8">
        <v>46067</v>
      </c>
      <c r="C27" s="7" t="s">
        <v>10</v>
      </c>
      <c r="D27" s="7" t="s">
        <v>2</v>
      </c>
      <c r="E27" s="7" t="s">
        <v>100</v>
      </c>
      <c r="F27" s="7" t="s">
        <v>28</v>
      </c>
      <c r="G27" s="7" t="s">
        <v>101</v>
      </c>
      <c r="H27" s="7">
        <v>12</v>
      </c>
      <c r="I27" s="9">
        <v>850</v>
      </c>
      <c r="J27" s="10">
        <v>0.03</v>
      </c>
      <c r="K27" s="7" t="s">
        <v>22</v>
      </c>
      <c r="L27" s="7" t="s">
        <v>7</v>
      </c>
      <c r="M27" s="7" t="s">
        <v>39</v>
      </c>
      <c r="N27" s="3">
        <f>Table1[[#This Row],[Quantity]]*Table1[[#This Row],[Unit_Price_INR]]</f>
        <v>10200</v>
      </c>
      <c r="O27" s="3">
        <f>Table1[[#This Row],[Grow Sales]]*Table1[[#This Row],[Discount_Rate]]</f>
        <v>306</v>
      </c>
      <c r="P27" s="3">
        <f>Table1[[#This Row],[Grow Sales]]-Table1[[#This Row],[Discount Amount]]</f>
        <v>9894</v>
      </c>
      <c r="Q27" s="3" t="str">
        <f>TEXT(Table1[[#This Row],[Date]],"MMM-ddd-yyyy")</f>
        <v>Feb-Sat-2026</v>
      </c>
      <c r="R27" s="3" t="str">
        <f>IF(OR(Table1[[#This Row],[Status]]="Pending",Table1[[#This Row],[Status]]="Refunded"),"Review","OK")</f>
        <v>OK</v>
      </c>
      <c r="S27" s="3" t="str">
        <f>IF(Table1[[#This Row],[Net Sales]]&gt;=25000,"High",IF(Table1[[#This Row],[Net Sales]]&gt;=10000,"Medium","Low"))</f>
        <v>Low</v>
      </c>
      <c r="T27" s="3" t="str">
        <f>IF(AND(Table1[[#This Row],[Quantity]]&gt;=5,Table1[[#This Row],[Discount_Rate]]&gt;=10%),"Review","OK")</f>
        <v>OK</v>
      </c>
      <c r="U27" s="3" t="str">
        <f>IF(OR(Table1[[#This Row],[Payment_Method]]="Cash",Table1[[#This Row],[Payment_Method]]="UPI"),"YES","NO")</f>
        <v>YES</v>
      </c>
      <c r="V27" s="3">
        <f>IFERROR(Table1[[#This Row],[Net Sales]]/Table1[[#This Row],[Quantity]],"check data")</f>
        <v>824.5</v>
      </c>
      <c r="W27" s="3" t="str">
        <f>PROPER(TRIM(Table1[[#This Row],[Customer_Name]]))</f>
        <v>Zenith Shop</v>
      </c>
      <c r="X27" s="3" t="str">
        <f>UPPER(TRIM(Table1[[#This Row],[Region]]))</f>
        <v>SOUTH</v>
      </c>
      <c r="Y27" s="3" t="str">
        <f>TEXT(Table1[[#This Row],[Date]],"MMMM-yyyy")</f>
        <v>February-2026</v>
      </c>
      <c r="Z27" s="3" t="str">
        <f>MID(Table1[[#This Row],[Transaction_ID]],4,6)</f>
        <v>1026</v>
      </c>
      <c r="AA27" s="3" t="str">
        <f>Table1[[#This Row],[Region]]&amp;"-"&amp;Table1[[#This Row],[Category]]</f>
        <v>South-Office</v>
      </c>
    </row>
    <row r="28" spans="1:27" hidden="1">
      <c r="A28" s="3" t="s">
        <v>102</v>
      </c>
      <c r="B28" s="4">
        <v>46069</v>
      </c>
      <c r="C28" s="3" t="s">
        <v>18</v>
      </c>
      <c r="D28" s="3" t="s">
        <v>26</v>
      </c>
      <c r="E28" s="3" t="s">
        <v>103</v>
      </c>
      <c r="F28" s="3" t="s">
        <v>20</v>
      </c>
      <c r="G28" s="3" t="s">
        <v>104</v>
      </c>
      <c r="H28" s="3">
        <v>18</v>
      </c>
      <c r="I28" s="5">
        <v>720</v>
      </c>
      <c r="J28" s="6">
        <v>0</v>
      </c>
      <c r="K28" s="3" t="s">
        <v>30</v>
      </c>
      <c r="L28" s="3" t="s">
        <v>105</v>
      </c>
      <c r="M28" s="3" t="s">
        <v>23</v>
      </c>
      <c r="N28" s="3">
        <f>Table1[[#This Row],[Quantity]]*Table1[[#This Row],[Unit_Price_INR]]</f>
        <v>12960</v>
      </c>
      <c r="O28" s="3">
        <f>Table1[[#This Row],[Grow Sales]]*Table1[[#This Row],[Discount_Rate]]</f>
        <v>0</v>
      </c>
      <c r="P28" s="3">
        <f>Table1[[#This Row],[Grow Sales]]-Table1[[#This Row],[Discount Amount]]</f>
        <v>12960</v>
      </c>
      <c r="Q28" s="3" t="str">
        <f>TEXT(Table1[[#This Row],[Date]],"MMM-ddd-yyyy")</f>
        <v>Feb-Mon-2026</v>
      </c>
      <c r="R28" s="3" t="str">
        <f>IF(OR(Table1[[#This Row],[Status]]="Pending",Table1[[#This Row],[Status]]="Refunded"),"Review","OK")</f>
        <v>OK</v>
      </c>
      <c r="S28" s="3" t="str">
        <f>IF(Table1[[#This Row],[Net Sales]]&gt;=25000,"High",IF(Table1[[#This Row],[Net Sales]]&gt;=10000,"Medium","Low"))</f>
        <v>Medium</v>
      </c>
      <c r="T28" s="3" t="str">
        <f>IF(AND(Table1[[#This Row],[Quantity]]&gt;=5,Table1[[#This Row],[Discount_Rate]]&gt;=10%),"Review","OK")</f>
        <v>OK</v>
      </c>
      <c r="U28" s="3" t="str">
        <f>IF(OR(Table1[[#This Row],[Payment_Method]]="Cash",Table1[[#This Row],[Payment_Method]]="UPI"),"YES","NO")</f>
        <v>NO</v>
      </c>
      <c r="V28" s="3">
        <f>IFERROR(Table1[[#This Row],[Net Sales]]/Table1[[#This Row],[Quantity]],"check data")</f>
        <v>720</v>
      </c>
      <c r="W28" s="3" t="str">
        <f>PROPER(TRIM(Table1[[#This Row],[Customer_Name]]))</f>
        <v>Apex Traders</v>
      </c>
      <c r="X28" s="3" t="str">
        <f>UPPER(TRIM(Table1[[#This Row],[Region]]))</f>
        <v>WEST</v>
      </c>
      <c r="Y28" s="3" t="str">
        <f>TEXT(Table1[[#This Row],[Date]],"MMMM-yyyy")</f>
        <v>February-2026</v>
      </c>
      <c r="Z28" s="3" t="str">
        <f>MID(Table1[[#This Row],[Transaction_ID]],4,6)</f>
        <v>1027</v>
      </c>
      <c r="AA28" s="3" t="str">
        <f>Table1[[#This Row],[Region]]&amp;"-"&amp;Table1[[#This Row],[Category]]</f>
        <v>West-Grocery</v>
      </c>
    </row>
    <row r="29" spans="1:27">
      <c r="A29" s="7" t="s">
        <v>242</v>
      </c>
      <c r="B29" s="8">
        <v>46166</v>
      </c>
      <c r="C29" s="7" t="s">
        <v>1</v>
      </c>
      <c r="D29" s="7" t="s">
        <v>26</v>
      </c>
      <c r="E29" s="7" t="s">
        <v>243</v>
      </c>
      <c r="F29" s="7" t="s">
        <v>4</v>
      </c>
      <c r="G29" s="7" t="s">
        <v>244</v>
      </c>
      <c r="H29" s="7">
        <v>2</v>
      </c>
      <c r="I29" s="9">
        <v>12500</v>
      </c>
      <c r="J29" s="10">
        <v>0.1</v>
      </c>
      <c r="K29" s="7" t="s">
        <v>30</v>
      </c>
      <c r="L29" s="7" t="s">
        <v>7</v>
      </c>
      <c r="M29" s="7" t="s">
        <v>8</v>
      </c>
      <c r="N29" s="3">
        <f>Table1[[#This Row],[Quantity]]*Table1[[#This Row],[Unit_Price_INR]]</f>
        <v>25000</v>
      </c>
      <c r="O29" s="3">
        <f>Table1[[#This Row],[Grow Sales]]*Table1[[#This Row],[Discount_Rate]]</f>
        <v>2500</v>
      </c>
      <c r="P29" s="3">
        <f>Table1[[#This Row],[Grow Sales]]-Table1[[#This Row],[Discount Amount]]</f>
        <v>22500</v>
      </c>
      <c r="Q29" s="3" t="str">
        <f>TEXT(Table1[[#This Row],[Date]],"MMM-ddd-yyyy")</f>
        <v>May-Sun-2026</v>
      </c>
      <c r="R29" s="3" t="str">
        <f>IF(OR(Table1[[#This Row],[Status]]="Pending",Table1[[#This Row],[Status]]="Refunded"),"Review","OK")</f>
        <v>OK</v>
      </c>
      <c r="S29" s="3" t="str">
        <f>IF(Table1[[#This Row],[Net Sales]]&gt;=25000,"High",IF(Table1[[#This Row],[Net Sales]]&gt;=10000,"Medium","Low"))</f>
        <v>Medium</v>
      </c>
      <c r="T29" s="3" t="str">
        <f>IF(AND(Table1[[#This Row],[Quantity]]&gt;=5,Table1[[#This Row],[Discount_Rate]]&gt;=10%),"Review","OK")</f>
        <v>OK</v>
      </c>
      <c r="U29" s="3" t="str">
        <f>IF(OR(Table1[[#This Row],[Payment_Method]]="Cash",Table1[[#This Row],[Payment_Method]]="UPI"),"YES","NO")</f>
        <v>NO</v>
      </c>
      <c r="V29" s="3">
        <f>IFERROR(Table1[[#This Row],[Net Sales]]/Table1[[#This Row],[Quantity]],"check data")</f>
        <v>11250</v>
      </c>
      <c r="W29" s="3" t="str">
        <f>PROPER(TRIM(Table1[[#This Row],[Customer_Name]]))</f>
        <v>Umber Distributors</v>
      </c>
      <c r="X29" s="3" t="str">
        <f>UPPER(TRIM(Table1[[#This Row],[Region]]))</f>
        <v>NORTH</v>
      </c>
      <c r="Y29" s="3" t="str">
        <f>TEXT(Table1[[#This Row],[Date]],"MMMM-yyyy")</f>
        <v>May-2026</v>
      </c>
      <c r="Z29" s="3" t="str">
        <f>MID(Table1[[#This Row],[Transaction_ID]],4,6)</f>
        <v>1074</v>
      </c>
      <c r="AA29" s="3" t="str">
        <f>Table1[[#This Row],[Region]]&amp;"-"&amp;Table1[[#This Row],[Category]]</f>
        <v>North-Electronics</v>
      </c>
    </row>
    <row r="30" spans="1:27">
      <c r="A30" s="7" t="s">
        <v>44</v>
      </c>
      <c r="B30" s="8">
        <v>46033</v>
      </c>
      <c r="C30" s="7" t="s">
        <v>25</v>
      </c>
      <c r="D30" s="7" t="s">
        <v>2</v>
      </c>
      <c r="E30" s="7" t="s">
        <v>45</v>
      </c>
      <c r="F30" s="7" t="s">
        <v>28</v>
      </c>
      <c r="G30" s="7" t="s">
        <v>46</v>
      </c>
      <c r="H30" s="7">
        <v>3</v>
      </c>
      <c r="I30" s="9">
        <v>7800</v>
      </c>
      <c r="J30" s="10">
        <v>7.0000000000000007E-2</v>
      </c>
      <c r="K30" s="7" t="s">
        <v>30</v>
      </c>
      <c r="L30" s="7" t="s">
        <v>7</v>
      </c>
      <c r="M30" s="7" t="s">
        <v>31</v>
      </c>
      <c r="N30" s="3">
        <f>Table1[[#This Row],[Quantity]]*Table1[[#This Row],[Unit_Price_INR]]</f>
        <v>23400</v>
      </c>
      <c r="O30" s="3">
        <f>Table1[[#This Row],[Grow Sales]]*Table1[[#This Row],[Discount_Rate]]</f>
        <v>1638.0000000000002</v>
      </c>
      <c r="P30" s="3">
        <f>Table1[[#This Row],[Grow Sales]]-Table1[[#This Row],[Discount Amount]]</f>
        <v>21762</v>
      </c>
      <c r="Q30" s="3" t="str">
        <f>TEXT(Table1[[#This Row],[Date]],"MMM-ddd-yyyy")</f>
        <v>Jan-Sun-2026</v>
      </c>
      <c r="R30" s="3" t="str">
        <f>IF(OR(Table1[[#This Row],[Status]]="Pending",Table1[[#This Row],[Status]]="Refunded"),"Review","OK")</f>
        <v>OK</v>
      </c>
      <c r="S30" s="3" t="str">
        <f>IF(Table1[[#This Row],[Net Sales]]&gt;=25000,"High",IF(Table1[[#This Row],[Net Sales]]&gt;=10000,"Medium","Low"))</f>
        <v>Medium</v>
      </c>
      <c r="T30" s="3" t="str">
        <f>IF(AND(Table1[[#This Row],[Quantity]]&gt;=5,Table1[[#This Row],[Discount_Rate]]&gt;=10%),"Review","OK")</f>
        <v>OK</v>
      </c>
      <c r="U30" s="3" t="str">
        <f>IF(OR(Table1[[#This Row],[Payment_Method]]="Cash",Table1[[#This Row],[Payment_Method]]="UPI"),"YES","NO")</f>
        <v>NO</v>
      </c>
      <c r="V30" s="3">
        <f>IFERROR(Table1[[#This Row],[Net Sales]]/Table1[[#This Row],[Quantity]],"check data")</f>
        <v>7254</v>
      </c>
      <c r="W30" s="3" t="str">
        <f>PROPER(TRIM(Table1[[#This Row],[Customer_Name]]))</f>
        <v>Harbor Supplies</v>
      </c>
      <c r="X30" s="3" t="str">
        <f>UPPER(TRIM(Table1[[#This Row],[Region]]))</f>
        <v>EAST</v>
      </c>
      <c r="Y30" s="3" t="str">
        <f>TEXT(Table1[[#This Row],[Date]],"MMMM-yyyy")</f>
        <v>January-2026</v>
      </c>
      <c r="Z30" s="3" t="str">
        <f>MID(Table1[[#This Row],[Transaction_ID]],4,6)</f>
        <v>1008</v>
      </c>
      <c r="AA30" s="3" t="str">
        <f>Table1[[#This Row],[Region]]&amp;"-"&amp;Table1[[#This Row],[Category]]</f>
        <v>East-Office</v>
      </c>
    </row>
    <row r="31" spans="1:27">
      <c r="A31" s="3" t="s">
        <v>151</v>
      </c>
      <c r="B31" s="4">
        <v>46106</v>
      </c>
      <c r="C31" s="3" t="s">
        <v>18</v>
      </c>
      <c r="D31" s="3" t="s">
        <v>11</v>
      </c>
      <c r="E31" s="3" t="s">
        <v>152</v>
      </c>
      <c r="F31" s="3" t="s">
        <v>13</v>
      </c>
      <c r="G31" s="3" t="s">
        <v>153</v>
      </c>
      <c r="H31" s="3">
        <v>3</v>
      </c>
      <c r="I31" s="5">
        <v>7800</v>
      </c>
      <c r="J31" s="6">
        <v>0.1</v>
      </c>
      <c r="K31" s="3" t="s">
        <v>15</v>
      </c>
      <c r="L31" s="3" t="s">
        <v>7</v>
      </c>
      <c r="M31" s="3" t="s">
        <v>23</v>
      </c>
      <c r="N31" s="3">
        <f>Table1[[#This Row],[Quantity]]*Table1[[#This Row],[Unit_Price_INR]]</f>
        <v>23400</v>
      </c>
      <c r="O31" s="3">
        <f>Table1[[#This Row],[Grow Sales]]*Table1[[#This Row],[Discount_Rate]]</f>
        <v>2340</v>
      </c>
      <c r="P31" s="3">
        <f>Table1[[#This Row],[Grow Sales]]-Table1[[#This Row],[Discount Amount]]</f>
        <v>21060</v>
      </c>
      <c r="Q31" s="3" t="str">
        <f>TEXT(Table1[[#This Row],[Date]],"MMM-ddd-yyyy")</f>
        <v>Mar-Wed-2026</v>
      </c>
      <c r="R31" s="3" t="str">
        <f>IF(OR(Table1[[#This Row],[Status]]="Pending",Table1[[#This Row],[Status]]="Refunded"),"Review","OK")</f>
        <v>OK</v>
      </c>
      <c r="S31" s="3" t="str">
        <f>IF(Table1[[#This Row],[Net Sales]]&gt;=25000,"High",IF(Table1[[#This Row],[Net Sales]]&gt;=10000,"Medium","Low"))</f>
        <v>Medium</v>
      </c>
      <c r="T31" s="3" t="str">
        <f>IF(AND(Table1[[#This Row],[Quantity]]&gt;=5,Table1[[#This Row],[Discount_Rate]]&gt;=10%),"Review","OK")</f>
        <v>OK</v>
      </c>
      <c r="U31" s="3" t="str">
        <f>IF(OR(Table1[[#This Row],[Payment_Method]]="Cash",Table1[[#This Row],[Payment_Method]]="UPI"),"YES","NO")</f>
        <v>NO</v>
      </c>
      <c r="V31" s="3">
        <f>IFERROR(Table1[[#This Row],[Net Sales]]/Table1[[#This Row],[Quantity]],"check data")</f>
        <v>7020</v>
      </c>
      <c r="W31" s="3" t="str">
        <f>PROPER(TRIM(Table1[[#This Row],[Customer_Name]]))</f>
        <v>Quartz Mart</v>
      </c>
      <c r="X31" s="3" t="str">
        <f>UPPER(TRIM(Table1[[#This Row],[Region]]))</f>
        <v>WEST</v>
      </c>
      <c r="Y31" s="3" t="str">
        <f>TEXT(Table1[[#This Row],[Date]],"MMMM-yyyy")</f>
        <v>March-2026</v>
      </c>
      <c r="Z31" s="3" t="str">
        <f>MID(Table1[[#This Row],[Transaction_ID]],4,6)</f>
        <v>1043</v>
      </c>
      <c r="AA31" s="3" t="str">
        <f>Table1[[#This Row],[Region]]&amp;"-"&amp;Table1[[#This Row],[Category]]</f>
        <v>West-Home</v>
      </c>
    </row>
    <row r="32" spans="1:27">
      <c r="A32" s="7" t="s">
        <v>202</v>
      </c>
      <c r="B32" s="8">
        <v>46142</v>
      </c>
      <c r="C32" s="7" t="s">
        <v>25</v>
      </c>
      <c r="D32" s="7" t="s">
        <v>26</v>
      </c>
      <c r="E32" s="7" t="s">
        <v>203</v>
      </c>
      <c r="F32" s="7" t="s">
        <v>28</v>
      </c>
      <c r="G32" s="7" t="s">
        <v>204</v>
      </c>
      <c r="H32" s="7">
        <v>3</v>
      </c>
      <c r="I32" s="9">
        <v>6900</v>
      </c>
      <c r="J32" s="10">
        <v>0.06</v>
      </c>
      <c r="K32" s="7" t="s">
        <v>30</v>
      </c>
      <c r="L32" s="7" t="s">
        <v>7</v>
      </c>
      <c r="M32" s="7" t="s">
        <v>31</v>
      </c>
      <c r="N32" s="3">
        <f>Table1[[#This Row],[Quantity]]*Table1[[#This Row],[Unit_Price_INR]]</f>
        <v>20700</v>
      </c>
      <c r="O32" s="3">
        <f>Table1[[#This Row],[Grow Sales]]*Table1[[#This Row],[Discount_Rate]]</f>
        <v>1242</v>
      </c>
      <c r="P32" s="3">
        <f>Table1[[#This Row],[Grow Sales]]-Table1[[#This Row],[Discount Amount]]</f>
        <v>19458</v>
      </c>
      <c r="Q32" s="3" t="str">
        <f>TEXT(Table1[[#This Row],[Date]],"MMM-ddd-yyyy")</f>
        <v>Apr-Thu-2026</v>
      </c>
      <c r="R32" s="3" t="str">
        <f>IF(OR(Table1[[#This Row],[Status]]="Pending",Table1[[#This Row],[Status]]="Refunded"),"Review","OK")</f>
        <v>OK</v>
      </c>
      <c r="S32" s="3" t="str">
        <f>IF(Table1[[#This Row],[Net Sales]]&gt;=25000,"High",IF(Table1[[#This Row],[Net Sales]]&gt;=10000,"Medium","Low"))</f>
        <v>Medium</v>
      </c>
      <c r="T32" s="3" t="str">
        <f>IF(AND(Table1[[#This Row],[Quantity]]&gt;=5,Table1[[#This Row],[Discount_Rate]]&gt;=10%),"Review","OK")</f>
        <v>OK</v>
      </c>
      <c r="U32" s="3" t="str">
        <f>IF(OR(Table1[[#This Row],[Payment_Method]]="Cash",Table1[[#This Row],[Payment_Method]]="UPI"),"YES","NO")</f>
        <v>NO</v>
      </c>
      <c r="V32" s="3">
        <f>IFERROR(Table1[[#This Row],[Net Sales]]/Table1[[#This Row],[Quantity]],"check data")</f>
        <v>6486</v>
      </c>
      <c r="W32" s="3" t="str">
        <f>PROPER(TRIM(Table1[[#This Row],[Customer_Name]]))</f>
        <v>Horizon Traders</v>
      </c>
      <c r="X32" s="3" t="str">
        <f>UPPER(TRIM(Table1[[#This Row],[Region]]))</f>
        <v>EAST</v>
      </c>
      <c r="Y32" s="3" t="str">
        <f>TEXT(Table1[[#This Row],[Date]],"MMMM-yyyy")</f>
        <v>April-2026</v>
      </c>
      <c r="Z32" s="3" t="str">
        <f>MID(Table1[[#This Row],[Transaction_ID]],4,6)</f>
        <v>1060</v>
      </c>
      <c r="AA32" s="3" t="str">
        <f>Table1[[#This Row],[Region]]&amp;"-"&amp;Table1[[#This Row],[Category]]</f>
        <v>East-Office</v>
      </c>
    </row>
    <row r="33" spans="1:27" hidden="1">
      <c r="A33" s="7" t="s">
        <v>118</v>
      </c>
      <c r="B33" s="8">
        <v>46084</v>
      </c>
      <c r="C33" s="7" t="s">
        <v>25</v>
      </c>
      <c r="D33" s="7" t="s">
        <v>2</v>
      </c>
      <c r="E33" s="7" t="s">
        <v>119</v>
      </c>
      <c r="F33" s="7" t="s">
        <v>20</v>
      </c>
      <c r="G33" s="7" t="s">
        <v>120</v>
      </c>
      <c r="H33" s="7">
        <v>16</v>
      </c>
      <c r="I33" s="9">
        <v>540</v>
      </c>
      <c r="J33" s="10">
        <v>0.02</v>
      </c>
      <c r="K33" s="7" t="s">
        <v>6</v>
      </c>
      <c r="L33" s="7" t="s">
        <v>7</v>
      </c>
      <c r="M33" s="7" t="s">
        <v>31</v>
      </c>
      <c r="N33" s="3">
        <f>Table1[[#This Row],[Quantity]]*Table1[[#This Row],[Unit_Price_INR]]</f>
        <v>8640</v>
      </c>
      <c r="O33" s="3">
        <f>Table1[[#This Row],[Grow Sales]]*Table1[[#This Row],[Discount_Rate]]</f>
        <v>172.8</v>
      </c>
      <c r="P33" s="3">
        <f>Table1[[#This Row],[Grow Sales]]-Table1[[#This Row],[Discount Amount]]</f>
        <v>8467.2000000000007</v>
      </c>
      <c r="Q33" s="3" t="str">
        <f>TEXT(Table1[[#This Row],[Date]],"MMM-ddd-yyyy")</f>
        <v>Mar-Tue-2026</v>
      </c>
      <c r="R33" s="3" t="str">
        <f>IF(OR(Table1[[#This Row],[Status]]="Pending",Table1[[#This Row],[Status]]="Refunded"),"Review","OK")</f>
        <v>OK</v>
      </c>
      <c r="S33" s="3" t="str">
        <f>IF(Table1[[#This Row],[Net Sales]]&gt;=25000,"High",IF(Table1[[#This Row],[Net Sales]]&gt;=10000,"Medium","Low"))</f>
        <v>Low</v>
      </c>
      <c r="T33" s="3" t="str">
        <f>IF(AND(Table1[[#This Row],[Quantity]]&gt;=5,Table1[[#This Row],[Discount_Rate]]&gt;=10%),"Review","OK")</f>
        <v>OK</v>
      </c>
      <c r="U33" s="3" t="str">
        <f>IF(OR(Table1[[#This Row],[Payment_Method]]="Cash",Table1[[#This Row],[Payment_Method]]="UPI"),"YES","NO")</f>
        <v>YES</v>
      </c>
      <c r="V33" s="3">
        <f>IFERROR(Table1[[#This Row],[Net Sales]]/Table1[[#This Row],[Quantity]],"check data")</f>
        <v>529.20000000000005</v>
      </c>
      <c r="W33" s="3" t="str">
        <f>PROPER(TRIM(Table1[[#This Row],[Customer_Name]]))</f>
        <v>Fern Stores</v>
      </c>
      <c r="X33" s="3" t="str">
        <f>UPPER(TRIM(Table1[[#This Row],[Region]]))</f>
        <v>EAST</v>
      </c>
      <c r="Y33" s="3" t="str">
        <f>TEXT(Table1[[#This Row],[Date]],"MMMM-yyyy")</f>
        <v>March-2026</v>
      </c>
      <c r="Z33" s="3" t="str">
        <f>MID(Table1[[#This Row],[Transaction_ID]],4,6)</f>
        <v>1032</v>
      </c>
      <c r="AA33" s="3" t="str">
        <f>Table1[[#This Row],[Region]]&amp;"-"&amp;Table1[[#This Row],[Category]]</f>
        <v>East-Grocery</v>
      </c>
    </row>
    <row r="34" spans="1:27">
      <c r="A34" s="3" t="s">
        <v>169</v>
      </c>
      <c r="B34" s="4">
        <v>46120</v>
      </c>
      <c r="C34" s="3" t="s">
        <v>1</v>
      </c>
      <c r="D34" s="3" t="s">
        <v>11</v>
      </c>
      <c r="E34" s="3" t="s">
        <v>170</v>
      </c>
      <c r="F34" s="3" t="s">
        <v>4</v>
      </c>
      <c r="G34" s="3" t="s">
        <v>171</v>
      </c>
      <c r="H34" s="3">
        <v>8</v>
      </c>
      <c r="I34" s="5">
        <v>2600</v>
      </c>
      <c r="J34" s="6">
        <v>0.12</v>
      </c>
      <c r="K34" s="3" t="s">
        <v>15</v>
      </c>
      <c r="L34" s="3" t="s">
        <v>7</v>
      </c>
      <c r="M34" s="3" t="s">
        <v>8</v>
      </c>
      <c r="N34" s="3">
        <f>Table1[[#This Row],[Quantity]]*Table1[[#This Row],[Unit_Price_INR]]</f>
        <v>20800</v>
      </c>
      <c r="O34" s="3">
        <f>Table1[[#This Row],[Grow Sales]]*Table1[[#This Row],[Discount_Rate]]</f>
        <v>2496</v>
      </c>
      <c r="P34" s="3">
        <f>Table1[[#This Row],[Grow Sales]]-Table1[[#This Row],[Discount Amount]]</f>
        <v>18304</v>
      </c>
      <c r="Q34" s="3" t="str">
        <f>TEXT(Table1[[#This Row],[Date]],"MMM-ddd-yyyy")</f>
        <v>Apr-Wed-2026</v>
      </c>
      <c r="R34" s="3" t="str">
        <f>IF(OR(Table1[[#This Row],[Status]]="Pending",Table1[[#This Row],[Status]]="Refunded"),"Review","OK")</f>
        <v>OK</v>
      </c>
      <c r="S34" s="3" t="str">
        <f>IF(Table1[[#This Row],[Net Sales]]&gt;=25000,"High",IF(Table1[[#This Row],[Net Sales]]&gt;=10000,"Medium","Low"))</f>
        <v>Medium</v>
      </c>
      <c r="T34" s="3" t="str">
        <f>IF(AND(Table1[[#This Row],[Quantity]]&gt;=5,Table1[[#This Row],[Discount_Rate]]&gt;=10%),"Review","OK")</f>
        <v>Review</v>
      </c>
      <c r="U34" s="3" t="str">
        <f>IF(OR(Table1[[#This Row],[Payment_Method]]="Cash",Table1[[#This Row],[Payment_Method]]="UPI"),"YES","NO")</f>
        <v>NO</v>
      </c>
      <c r="V34" s="3">
        <f>IFERROR(Table1[[#This Row],[Net Sales]]/Table1[[#This Row],[Quantity]],"check data")</f>
        <v>2288</v>
      </c>
      <c r="W34" s="3" t="str">
        <f>PROPER(TRIM(Table1[[#This Row],[Customer_Name]]))</f>
        <v>Wave Retail</v>
      </c>
      <c r="X34" s="3" t="str">
        <f>UPPER(TRIM(Table1[[#This Row],[Region]]))</f>
        <v>NORTH</v>
      </c>
      <c r="Y34" s="3" t="str">
        <f>TEXT(Table1[[#This Row],[Date]],"MMMM-yyyy")</f>
        <v>April-2026</v>
      </c>
      <c r="Z34" s="3" t="str">
        <f>MID(Table1[[#This Row],[Transaction_ID]],4,6)</f>
        <v>1049</v>
      </c>
      <c r="AA34" s="3" t="str">
        <f>Table1[[#This Row],[Region]]&amp;"-"&amp;Table1[[#This Row],[Category]]</f>
        <v>North-Electronics</v>
      </c>
    </row>
    <row r="35" spans="1:27">
      <c r="A35" s="7" t="s">
        <v>136</v>
      </c>
      <c r="B35" s="8">
        <v>46095</v>
      </c>
      <c r="C35" s="7" t="s">
        <v>10</v>
      </c>
      <c r="D35" s="7" t="s">
        <v>2</v>
      </c>
      <c r="E35" s="7" t="s">
        <v>137</v>
      </c>
      <c r="F35" s="7" t="s">
        <v>13</v>
      </c>
      <c r="G35" s="7" t="s">
        <v>138</v>
      </c>
      <c r="H35" s="7">
        <v>5</v>
      </c>
      <c r="I35" s="9">
        <v>3500</v>
      </c>
      <c r="J35" s="10">
        <v>7.0000000000000007E-2</v>
      </c>
      <c r="K35" s="7" t="s">
        <v>22</v>
      </c>
      <c r="L35" s="7" t="s">
        <v>7</v>
      </c>
      <c r="M35" s="7" t="s">
        <v>39</v>
      </c>
      <c r="N35" s="3">
        <f>Table1[[#This Row],[Quantity]]*Table1[[#This Row],[Unit_Price_INR]]</f>
        <v>17500</v>
      </c>
      <c r="O35" s="3">
        <f>Table1[[#This Row],[Grow Sales]]*Table1[[#This Row],[Discount_Rate]]</f>
        <v>1225.0000000000002</v>
      </c>
      <c r="P35" s="3">
        <f>Table1[[#This Row],[Grow Sales]]-Table1[[#This Row],[Discount Amount]]</f>
        <v>16275</v>
      </c>
      <c r="Q35" s="3" t="str">
        <f>TEXT(Table1[[#This Row],[Date]],"MMM-ddd-yyyy")</f>
        <v>Mar-Sat-2026</v>
      </c>
      <c r="R35" s="3" t="str">
        <f>IF(OR(Table1[[#This Row],[Status]]="Pending",Table1[[#This Row],[Status]]="Refunded"),"Review","OK")</f>
        <v>OK</v>
      </c>
      <c r="S35" s="3" t="str">
        <f>IF(Table1[[#This Row],[Net Sales]]&gt;=25000,"High",IF(Table1[[#This Row],[Net Sales]]&gt;=10000,"Medium","Low"))</f>
        <v>Medium</v>
      </c>
      <c r="T35" s="3" t="str">
        <f>IF(AND(Table1[[#This Row],[Quantity]]&gt;=5,Table1[[#This Row],[Discount_Rate]]&gt;=10%),"Review","OK")</f>
        <v>OK</v>
      </c>
      <c r="U35" s="3" t="str">
        <f>IF(OR(Table1[[#This Row],[Payment_Method]]="Cash",Table1[[#This Row],[Payment_Method]]="UPI"),"YES","NO")</f>
        <v>YES</v>
      </c>
      <c r="V35" s="3">
        <f>IFERROR(Table1[[#This Row],[Net Sales]]/Table1[[#This Row],[Quantity]],"check data")</f>
        <v>3255</v>
      </c>
      <c r="W35" s="3" t="str">
        <f>PROPER(TRIM(Table1[[#This Row],[Customer_Name]]))</f>
        <v>Lime Bazaar</v>
      </c>
      <c r="X35" s="3" t="str">
        <f>UPPER(TRIM(Table1[[#This Row],[Region]]))</f>
        <v>SOUTH</v>
      </c>
      <c r="Y35" s="3" t="str">
        <f>TEXT(Table1[[#This Row],[Date]],"MMMM-yyyy")</f>
        <v>March-2026</v>
      </c>
      <c r="Z35" s="3" t="str">
        <f>MID(Table1[[#This Row],[Transaction_ID]],4,6)</f>
        <v>1038</v>
      </c>
      <c r="AA35" s="3" t="str">
        <f>Table1[[#This Row],[Region]]&amp;"-"&amp;Table1[[#This Row],[Category]]</f>
        <v>South-Home</v>
      </c>
    </row>
    <row r="36" spans="1:27" hidden="1">
      <c r="A36" s="3" t="s">
        <v>127</v>
      </c>
      <c r="B36" s="4">
        <v>46089</v>
      </c>
      <c r="C36" s="3" t="s">
        <v>18</v>
      </c>
      <c r="D36" s="3" t="s">
        <v>2</v>
      </c>
      <c r="E36" s="3" t="s">
        <v>128</v>
      </c>
      <c r="F36" s="3" t="s">
        <v>34</v>
      </c>
      <c r="G36" s="3" t="s">
        <v>129</v>
      </c>
      <c r="H36" s="3">
        <v>4</v>
      </c>
      <c r="I36" s="5">
        <v>4200</v>
      </c>
      <c r="J36" s="6">
        <v>0.1</v>
      </c>
      <c r="K36" s="3" t="s">
        <v>6</v>
      </c>
      <c r="L36" s="3" t="s">
        <v>43</v>
      </c>
      <c r="M36" s="3" t="s">
        <v>23</v>
      </c>
      <c r="N36" s="3">
        <f>Table1[[#This Row],[Quantity]]*Table1[[#This Row],[Unit_Price_INR]]</f>
        <v>16800</v>
      </c>
      <c r="O36" s="3">
        <f>Table1[[#This Row],[Grow Sales]]*Table1[[#This Row],[Discount_Rate]]</f>
        <v>1680</v>
      </c>
      <c r="P36" s="3">
        <f>Table1[[#This Row],[Grow Sales]]-Table1[[#This Row],[Discount Amount]]</f>
        <v>15120</v>
      </c>
      <c r="Q36" s="3" t="str">
        <f>TEXT(Table1[[#This Row],[Date]],"MMM-ddd-yyyy")</f>
        <v>Mar-Sun-2026</v>
      </c>
      <c r="R36" s="3" t="str">
        <f>IF(OR(Table1[[#This Row],[Status]]="Pending",Table1[[#This Row],[Status]]="Refunded"),"Review","OK")</f>
        <v>Review</v>
      </c>
      <c r="S36" s="3" t="str">
        <f>IF(Table1[[#This Row],[Net Sales]]&gt;=25000,"High",IF(Table1[[#This Row],[Net Sales]]&gt;=10000,"Medium","Low"))</f>
        <v>Medium</v>
      </c>
      <c r="T36" s="3" t="str">
        <f>IF(AND(Table1[[#This Row],[Quantity]]&gt;=5,Table1[[#This Row],[Discount_Rate]]&gt;=10%),"Review","OK")</f>
        <v>OK</v>
      </c>
      <c r="U36" s="3" t="str">
        <f>IF(OR(Table1[[#This Row],[Payment_Method]]="Cash",Table1[[#This Row],[Payment_Method]]="UPI"),"YES","NO")</f>
        <v>YES</v>
      </c>
      <c r="V36" s="3">
        <f>IFERROR(Table1[[#This Row],[Net Sales]]/Table1[[#This Row],[Quantity]],"check data")</f>
        <v>3780</v>
      </c>
      <c r="W36" s="3" t="str">
        <f>PROPER(TRIM(Table1[[#This Row],[Customer_Name]]))</f>
        <v>Ivory Market</v>
      </c>
      <c r="X36" s="3" t="str">
        <f>UPPER(TRIM(Table1[[#This Row],[Region]]))</f>
        <v>WEST</v>
      </c>
      <c r="Y36" s="3" t="str">
        <f>TEXT(Table1[[#This Row],[Date]],"MMMM-yyyy")</f>
        <v>March-2026</v>
      </c>
      <c r="Z36" s="3" t="str">
        <f>MID(Table1[[#This Row],[Transaction_ID]],4,6)</f>
        <v>1035</v>
      </c>
      <c r="AA36" s="3" t="str">
        <f>Table1[[#This Row],[Region]]&amp;"-"&amp;Table1[[#This Row],[Category]]</f>
        <v>West-Fashion</v>
      </c>
    </row>
    <row r="37" spans="1:27">
      <c r="A37" s="7" t="s">
        <v>230</v>
      </c>
      <c r="B37" s="8">
        <v>46158</v>
      </c>
      <c r="C37" s="7" t="s">
        <v>1</v>
      </c>
      <c r="D37" s="7" t="s">
        <v>11</v>
      </c>
      <c r="E37" s="7" t="s">
        <v>231</v>
      </c>
      <c r="F37" s="7" t="s">
        <v>4</v>
      </c>
      <c r="G37" s="7" t="s">
        <v>232</v>
      </c>
      <c r="H37" s="7">
        <v>4</v>
      </c>
      <c r="I37" s="9">
        <v>3900</v>
      </c>
      <c r="J37" s="10">
        <v>0.06</v>
      </c>
      <c r="K37" s="7" t="s">
        <v>15</v>
      </c>
      <c r="L37" s="7" t="s">
        <v>7</v>
      </c>
      <c r="M37" s="7" t="s">
        <v>8</v>
      </c>
      <c r="N37" s="3">
        <f>Table1[[#This Row],[Quantity]]*Table1[[#This Row],[Unit_Price_INR]]</f>
        <v>15600</v>
      </c>
      <c r="O37" s="3">
        <f>Table1[[#This Row],[Grow Sales]]*Table1[[#This Row],[Discount_Rate]]</f>
        <v>936</v>
      </c>
      <c r="P37" s="3">
        <f>Table1[[#This Row],[Grow Sales]]-Table1[[#This Row],[Discount Amount]]</f>
        <v>14664</v>
      </c>
      <c r="Q37" s="3" t="str">
        <f>TEXT(Table1[[#This Row],[Date]],"MMM-ddd-yyyy")</f>
        <v>May-Sat-2026</v>
      </c>
      <c r="R37" s="3" t="str">
        <f>IF(OR(Table1[[#This Row],[Status]]="Pending",Table1[[#This Row],[Status]]="Refunded"),"Review","OK")</f>
        <v>OK</v>
      </c>
      <c r="S37" s="3" t="str">
        <f>IF(Table1[[#This Row],[Net Sales]]&gt;=25000,"High",IF(Table1[[#This Row],[Net Sales]]&gt;=10000,"Medium","Low"))</f>
        <v>Medium</v>
      </c>
      <c r="T37" s="3" t="str">
        <f>IF(AND(Table1[[#This Row],[Quantity]]&gt;=5,Table1[[#This Row],[Discount_Rate]]&gt;=10%),"Review","OK")</f>
        <v>OK</v>
      </c>
      <c r="U37" s="3" t="str">
        <f>IF(OR(Table1[[#This Row],[Payment_Method]]="Cash",Table1[[#This Row],[Payment_Method]]="UPI"),"YES","NO")</f>
        <v>NO</v>
      </c>
      <c r="V37" s="3">
        <f>IFERROR(Table1[[#This Row],[Net Sales]]/Table1[[#This Row],[Quantity]],"check data")</f>
        <v>3666</v>
      </c>
      <c r="W37" s="3" t="str">
        <f>PROPER(TRIM(Table1[[#This Row],[Customer_Name]]))</f>
        <v>Quartz Retail</v>
      </c>
      <c r="X37" s="3" t="str">
        <f>UPPER(TRIM(Table1[[#This Row],[Region]]))</f>
        <v>NORTH</v>
      </c>
      <c r="Y37" s="3" t="str">
        <f>TEXT(Table1[[#This Row],[Date]],"MMMM-yyyy")</f>
        <v>May-2026</v>
      </c>
      <c r="Z37" s="3" t="str">
        <f>MID(Table1[[#This Row],[Transaction_ID]],4,6)</f>
        <v>1070</v>
      </c>
      <c r="AA37" s="3" t="str">
        <f>Table1[[#This Row],[Region]]&amp;"-"&amp;Table1[[#This Row],[Category]]</f>
        <v>North-Electronics</v>
      </c>
    </row>
    <row r="38" spans="1:27" hidden="1">
      <c r="A38" s="3" t="s">
        <v>133</v>
      </c>
      <c r="B38" s="4">
        <v>46093</v>
      </c>
      <c r="C38" s="3" t="s">
        <v>1</v>
      </c>
      <c r="D38" s="3" t="s">
        <v>11</v>
      </c>
      <c r="E38" s="3" t="s">
        <v>134</v>
      </c>
      <c r="F38" s="3" t="s">
        <v>20</v>
      </c>
      <c r="G38" s="3" t="s">
        <v>135</v>
      </c>
      <c r="H38" s="3">
        <v>8</v>
      </c>
      <c r="I38" s="5">
        <v>950</v>
      </c>
      <c r="J38" s="6">
        <v>0.05</v>
      </c>
      <c r="K38" s="3" t="s">
        <v>15</v>
      </c>
      <c r="L38" s="3" t="s">
        <v>7</v>
      </c>
      <c r="M38" s="3" t="s">
        <v>8</v>
      </c>
      <c r="N38" s="3">
        <f>Table1[[#This Row],[Quantity]]*Table1[[#This Row],[Unit_Price_INR]]</f>
        <v>7600</v>
      </c>
      <c r="O38" s="3">
        <f>Table1[[#This Row],[Grow Sales]]*Table1[[#This Row],[Discount_Rate]]</f>
        <v>380</v>
      </c>
      <c r="P38" s="3">
        <f>Table1[[#This Row],[Grow Sales]]-Table1[[#This Row],[Discount Amount]]</f>
        <v>7220</v>
      </c>
      <c r="Q38" s="3" t="str">
        <f>TEXT(Table1[[#This Row],[Date]],"MMM-ddd-yyyy")</f>
        <v>Mar-Thu-2026</v>
      </c>
      <c r="R38" s="3" t="str">
        <f>IF(OR(Table1[[#This Row],[Status]]="Pending",Table1[[#This Row],[Status]]="Refunded"),"Review","OK")</f>
        <v>OK</v>
      </c>
      <c r="S38" s="3" t="str">
        <f>IF(Table1[[#This Row],[Net Sales]]&gt;=25000,"High",IF(Table1[[#This Row],[Net Sales]]&gt;=10000,"Medium","Low"))</f>
        <v>Low</v>
      </c>
      <c r="T38" s="3" t="str">
        <f>IF(AND(Table1[[#This Row],[Quantity]]&gt;=5,Table1[[#This Row],[Discount_Rate]]&gt;=10%),"Review","OK")</f>
        <v>OK</v>
      </c>
      <c r="U38" s="3" t="str">
        <f>IF(OR(Table1[[#This Row],[Payment_Method]]="Cash",Table1[[#This Row],[Payment_Method]]="UPI"),"YES","NO")</f>
        <v>NO</v>
      </c>
      <c r="V38" s="3">
        <f>IFERROR(Table1[[#This Row],[Net Sales]]/Table1[[#This Row],[Quantity]],"check data")</f>
        <v>902.5</v>
      </c>
      <c r="W38" s="3" t="str">
        <f>PROPER(TRIM(Table1[[#This Row],[Customer_Name]]))</f>
        <v>Kite Store</v>
      </c>
      <c r="X38" s="3" t="str">
        <f>UPPER(TRIM(Table1[[#This Row],[Region]]))</f>
        <v>NORTH</v>
      </c>
      <c r="Y38" s="3" t="str">
        <f>TEXT(Table1[[#This Row],[Date]],"MMMM-yyyy")</f>
        <v>March-2026</v>
      </c>
      <c r="Z38" s="3" t="str">
        <f>MID(Table1[[#This Row],[Transaction_ID]],4,6)</f>
        <v>1037</v>
      </c>
      <c r="AA38" s="3" t="str">
        <f>Table1[[#This Row],[Region]]&amp;"-"&amp;Table1[[#This Row],[Category]]</f>
        <v>North-Grocery</v>
      </c>
    </row>
    <row r="39" spans="1:27">
      <c r="A39" s="3" t="s">
        <v>109</v>
      </c>
      <c r="B39" s="4">
        <v>46073</v>
      </c>
      <c r="C39" s="3" t="s">
        <v>1</v>
      </c>
      <c r="D39" s="3" t="s">
        <v>2</v>
      </c>
      <c r="E39" s="3" t="s">
        <v>110</v>
      </c>
      <c r="F39" s="3" t="s">
        <v>4</v>
      </c>
      <c r="G39" s="3" t="s">
        <v>111</v>
      </c>
      <c r="H39" s="3">
        <v>14</v>
      </c>
      <c r="I39" s="5">
        <v>1100</v>
      </c>
      <c r="J39" s="6">
        <v>0.05</v>
      </c>
      <c r="K39" s="3" t="s">
        <v>15</v>
      </c>
      <c r="L39" s="3" t="s">
        <v>7</v>
      </c>
      <c r="M39" s="3" t="s">
        <v>8</v>
      </c>
      <c r="N39" s="3">
        <f>Table1[[#This Row],[Quantity]]*Table1[[#This Row],[Unit_Price_INR]]</f>
        <v>15400</v>
      </c>
      <c r="O39" s="3">
        <f>Table1[[#This Row],[Grow Sales]]*Table1[[#This Row],[Discount_Rate]]</f>
        <v>770</v>
      </c>
      <c r="P39" s="3">
        <f>Table1[[#This Row],[Grow Sales]]-Table1[[#This Row],[Discount Amount]]</f>
        <v>14630</v>
      </c>
      <c r="Q39" s="3" t="str">
        <f>TEXT(Table1[[#This Row],[Date]],"MMM-ddd-yyyy")</f>
        <v>Feb-Fri-2026</v>
      </c>
      <c r="R39" s="3" t="str">
        <f>IF(OR(Table1[[#This Row],[Status]]="Pending",Table1[[#This Row],[Status]]="Refunded"),"Review","OK")</f>
        <v>OK</v>
      </c>
      <c r="S39" s="3" t="str">
        <f>IF(Table1[[#This Row],[Net Sales]]&gt;=25000,"High",IF(Table1[[#This Row],[Net Sales]]&gt;=10000,"Medium","Low"))</f>
        <v>Medium</v>
      </c>
      <c r="T39" s="3" t="str">
        <f>IF(AND(Table1[[#This Row],[Quantity]]&gt;=5,Table1[[#This Row],[Discount_Rate]]&gt;=10%),"Review","OK")</f>
        <v>OK</v>
      </c>
      <c r="U39" s="3" t="str">
        <f>IF(OR(Table1[[#This Row],[Payment_Method]]="Cash",Table1[[#This Row],[Payment_Method]]="UPI"),"YES","NO")</f>
        <v>NO</v>
      </c>
      <c r="V39" s="3">
        <f>IFERROR(Table1[[#This Row],[Net Sales]]/Table1[[#This Row],[Quantity]],"check data")</f>
        <v>1045</v>
      </c>
      <c r="W39" s="3" t="str">
        <f>PROPER(TRIM(Table1[[#This Row],[Customer_Name]]))</f>
        <v>Coral Market</v>
      </c>
      <c r="X39" s="3" t="str">
        <f>UPPER(TRIM(Table1[[#This Row],[Region]]))</f>
        <v>NORTH</v>
      </c>
      <c r="Y39" s="3" t="str">
        <f>TEXT(Table1[[#This Row],[Date]],"MMMM-yyyy")</f>
        <v>February-2026</v>
      </c>
      <c r="Z39" s="3" t="str">
        <f>MID(Table1[[#This Row],[Transaction_ID]],4,6)</f>
        <v>1029</v>
      </c>
      <c r="AA39" s="3" t="str">
        <f>Table1[[#This Row],[Region]]&amp;"-"&amp;Table1[[#This Row],[Category]]</f>
        <v>North-Electronics</v>
      </c>
    </row>
    <row r="40" spans="1:27">
      <c r="A40" s="7" t="s">
        <v>106</v>
      </c>
      <c r="B40" s="8">
        <v>46071</v>
      </c>
      <c r="C40" s="7" t="s">
        <v>25</v>
      </c>
      <c r="D40" s="7" t="s">
        <v>11</v>
      </c>
      <c r="E40" s="7" t="s">
        <v>107</v>
      </c>
      <c r="F40" s="7" t="s">
        <v>13</v>
      </c>
      <c r="G40" s="7" t="s">
        <v>108</v>
      </c>
      <c r="H40" s="7">
        <v>6</v>
      </c>
      <c r="I40" s="9">
        <v>2600</v>
      </c>
      <c r="J40" s="10">
        <v>0.08</v>
      </c>
      <c r="K40" s="7" t="s">
        <v>6</v>
      </c>
      <c r="L40" s="7" t="s">
        <v>7</v>
      </c>
      <c r="M40" s="7" t="s">
        <v>31</v>
      </c>
      <c r="N40" s="3">
        <f>Table1[[#This Row],[Quantity]]*Table1[[#This Row],[Unit_Price_INR]]</f>
        <v>15600</v>
      </c>
      <c r="O40" s="3">
        <f>Table1[[#This Row],[Grow Sales]]*Table1[[#This Row],[Discount_Rate]]</f>
        <v>1248</v>
      </c>
      <c r="P40" s="3">
        <f>Table1[[#This Row],[Grow Sales]]-Table1[[#This Row],[Discount Amount]]</f>
        <v>14352</v>
      </c>
      <c r="Q40" s="3" t="str">
        <f>TEXT(Table1[[#This Row],[Date]],"MMM-ddd-yyyy")</f>
        <v>Feb-Wed-2026</v>
      </c>
      <c r="R40" s="3" t="str">
        <f>IF(OR(Table1[[#This Row],[Status]]="Pending",Table1[[#This Row],[Status]]="Refunded"),"Review","OK")</f>
        <v>OK</v>
      </c>
      <c r="S40" s="3" t="str">
        <f>IF(Table1[[#This Row],[Net Sales]]&gt;=25000,"High",IF(Table1[[#This Row],[Net Sales]]&gt;=10000,"Medium","Low"))</f>
        <v>Medium</v>
      </c>
      <c r="T40" s="3" t="str">
        <f>IF(AND(Table1[[#This Row],[Quantity]]&gt;=5,Table1[[#This Row],[Discount_Rate]]&gt;=10%),"Review","OK")</f>
        <v>OK</v>
      </c>
      <c r="U40" s="3" t="str">
        <f>IF(OR(Table1[[#This Row],[Payment_Method]]="Cash",Table1[[#This Row],[Payment_Method]]="UPI"),"YES","NO")</f>
        <v>YES</v>
      </c>
      <c r="V40" s="3">
        <f>IFERROR(Table1[[#This Row],[Net Sales]]/Table1[[#This Row],[Quantity]],"check data")</f>
        <v>2392</v>
      </c>
      <c r="W40" s="3" t="str">
        <f>PROPER(TRIM(Table1[[#This Row],[Customer_Name]]))</f>
        <v>Bluebird Store</v>
      </c>
      <c r="X40" s="3" t="str">
        <f>UPPER(TRIM(Table1[[#This Row],[Region]]))</f>
        <v>EAST</v>
      </c>
      <c r="Y40" s="3" t="str">
        <f>TEXT(Table1[[#This Row],[Date]],"MMMM-yyyy")</f>
        <v>February-2026</v>
      </c>
      <c r="Z40" s="3" t="str">
        <f>MID(Table1[[#This Row],[Transaction_ID]],4,6)</f>
        <v>1028</v>
      </c>
      <c r="AA40" s="3" t="str">
        <f>Table1[[#This Row],[Region]]&amp;"-"&amp;Table1[[#This Row],[Category]]</f>
        <v>East-Home</v>
      </c>
    </row>
    <row r="41" spans="1:27" hidden="1">
      <c r="A41" s="7" t="s">
        <v>142</v>
      </c>
      <c r="B41" s="8">
        <v>46100</v>
      </c>
      <c r="C41" s="7" t="s">
        <v>25</v>
      </c>
      <c r="D41" s="7" t="s">
        <v>11</v>
      </c>
      <c r="E41" s="7" t="s">
        <v>143</v>
      </c>
      <c r="F41" s="7" t="s">
        <v>34</v>
      </c>
      <c r="G41" s="7" t="s">
        <v>144</v>
      </c>
      <c r="H41" s="7">
        <v>6</v>
      </c>
      <c r="I41" s="9">
        <v>5600</v>
      </c>
      <c r="J41" s="10">
        <v>0.15</v>
      </c>
      <c r="K41" s="7" t="s">
        <v>15</v>
      </c>
      <c r="L41" s="7" t="s">
        <v>53</v>
      </c>
      <c r="M41" s="7" t="s">
        <v>31</v>
      </c>
      <c r="N41" s="3">
        <f>Table1[[#This Row],[Quantity]]*Table1[[#This Row],[Unit_Price_INR]]</f>
        <v>33600</v>
      </c>
      <c r="O41" s="3">
        <f>Table1[[#This Row],[Grow Sales]]*Table1[[#This Row],[Discount_Rate]]</f>
        <v>5040</v>
      </c>
      <c r="P41" s="3">
        <f>Table1[[#This Row],[Grow Sales]]-Table1[[#This Row],[Discount Amount]]</f>
        <v>28560</v>
      </c>
      <c r="Q41" s="3" t="str">
        <f>TEXT(Table1[[#This Row],[Date]],"MMM-ddd-yyyy")</f>
        <v>Mar-Thu-2026</v>
      </c>
      <c r="R41" s="3" t="str">
        <f>IF(OR(Table1[[#This Row],[Status]]="Pending",Table1[[#This Row],[Status]]="Refunded"),"Review","OK")</f>
        <v>Review</v>
      </c>
      <c r="S41" s="3" t="str">
        <f>IF(Table1[[#This Row],[Net Sales]]&gt;=25000,"High",IF(Table1[[#This Row],[Net Sales]]&gt;=10000,"Medium","Low"))</f>
        <v>High</v>
      </c>
      <c r="T41" s="3" t="str">
        <f>IF(AND(Table1[[#This Row],[Quantity]]&gt;=5,Table1[[#This Row],[Discount_Rate]]&gt;=10%),"Review","OK")</f>
        <v>Review</v>
      </c>
      <c r="U41" s="3" t="str">
        <f>IF(OR(Table1[[#This Row],[Payment_Method]]="Cash",Table1[[#This Row],[Payment_Method]]="UPI"),"YES","NO")</f>
        <v>NO</v>
      </c>
      <c r="V41" s="3">
        <f>IFERROR(Table1[[#This Row],[Net Sales]]/Table1[[#This Row],[Quantity]],"check data")</f>
        <v>4760</v>
      </c>
      <c r="W41" s="3" t="str">
        <f>PROPER(TRIM(Table1[[#This Row],[Customer_Name]]))</f>
        <v>Noble Retail</v>
      </c>
      <c r="X41" s="3" t="str">
        <f>UPPER(TRIM(Table1[[#This Row],[Region]]))</f>
        <v>EAST</v>
      </c>
      <c r="Y41" s="3" t="str">
        <f>TEXT(Table1[[#This Row],[Date]],"MMMM-yyyy")</f>
        <v>March-2026</v>
      </c>
      <c r="Z41" s="3" t="str">
        <f>MID(Table1[[#This Row],[Transaction_ID]],4,6)</f>
        <v>1040</v>
      </c>
      <c r="AA41" s="3" t="str">
        <f>Table1[[#This Row],[Region]]&amp;"-"&amp;Table1[[#This Row],[Category]]</f>
        <v>East-Fashion</v>
      </c>
    </row>
    <row r="42" spans="1:27">
      <c r="A42" s="3" t="s">
        <v>181</v>
      </c>
      <c r="B42" s="4">
        <v>46128</v>
      </c>
      <c r="C42" s="3" t="s">
        <v>1</v>
      </c>
      <c r="D42" s="3" t="s">
        <v>2</v>
      </c>
      <c r="E42" s="3" t="s">
        <v>182</v>
      </c>
      <c r="F42" s="3" t="s">
        <v>13</v>
      </c>
      <c r="G42" s="3" t="s">
        <v>183</v>
      </c>
      <c r="H42" s="3">
        <v>4</v>
      </c>
      <c r="I42" s="5">
        <v>3900</v>
      </c>
      <c r="J42" s="6">
        <v>0.08</v>
      </c>
      <c r="K42" s="3" t="s">
        <v>15</v>
      </c>
      <c r="L42" s="3" t="s">
        <v>7</v>
      </c>
      <c r="M42" s="3" t="s">
        <v>8</v>
      </c>
      <c r="N42" s="3">
        <f>Table1[[#This Row],[Quantity]]*Table1[[#This Row],[Unit_Price_INR]]</f>
        <v>15600</v>
      </c>
      <c r="O42" s="3">
        <f>Table1[[#This Row],[Grow Sales]]*Table1[[#This Row],[Discount_Rate]]</f>
        <v>1248</v>
      </c>
      <c r="P42" s="3">
        <f>Table1[[#This Row],[Grow Sales]]-Table1[[#This Row],[Discount Amount]]</f>
        <v>14352</v>
      </c>
      <c r="Q42" s="3" t="str">
        <f>TEXT(Table1[[#This Row],[Date]],"MMM-ddd-yyyy")</f>
        <v>Apr-Thu-2026</v>
      </c>
      <c r="R42" s="3" t="str">
        <f>IF(OR(Table1[[#This Row],[Status]]="Pending",Table1[[#This Row],[Status]]="Refunded"),"Review","OK")</f>
        <v>OK</v>
      </c>
      <c r="S42" s="3" t="str">
        <f>IF(Table1[[#This Row],[Net Sales]]&gt;=25000,"High",IF(Table1[[#This Row],[Net Sales]]&gt;=10000,"Medium","Low"))</f>
        <v>Medium</v>
      </c>
      <c r="T42" s="3" t="str">
        <f>IF(AND(Table1[[#This Row],[Quantity]]&gt;=5,Table1[[#This Row],[Discount_Rate]]&gt;=10%),"Review","OK")</f>
        <v>OK</v>
      </c>
      <c r="U42" s="3" t="str">
        <f>IF(OR(Table1[[#This Row],[Payment_Method]]="Cash",Table1[[#This Row],[Payment_Method]]="UPI"),"YES","NO")</f>
        <v>NO</v>
      </c>
      <c r="V42" s="3">
        <f>IFERROR(Table1[[#This Row],[Net Sales]]/Table1[[#This Row],[Quantity]],"check data")</f>
        <v>3588</v>
      </c>
      <c r="W42" s="3" t="str">
        <f>PROPER(TRIM(Table1[[#This Row],[Customer_Name]]))</f>
        <v>Amber Mart</v>
      </c>
      <c r="X42" s="3" t="str">
        <f>UPPER(TRIM(Table1[[#This Row],[Region]]))</f>
        <v>NORTH</v>
      </c>
      <c r="Y42" s="3" t="str">
        <f>TEXT(Table1[[#This Row],[Date]],"MMMM-yyyy")</f>
        <v>April-2026</v>
      </c>
      <c r="Z42" s="3" t="str">
        <f>MID(Table1[[#This Row],[Transaction_ID]],4,6)</f>
        <v>1053</v>
      </c>
      <c r="AA42" s="3" t="str">
        <f>Table1[[#This Row],[Region]]&amp;"-"&amp;Table1[[#This Row],[Category]]</f>
        <v>North-Home</v>
      </c>
    </row>
    <row r="43" spans="1:27" hidden="1">
      <c r="A43" s="7" t="s">
        <v>148</v>
      </c>
      <c r="B43" s="8">
        <v>46104</v>
      </c>
      <c r="C43" s="7" t="s">
        <v>10</v>
      </c>
      <c r="D43" s="7" t="s">
        <v>26</v>
      </c>
      <c r="E43" s="7" t="s">
        <v>149</v>
      </c>
      <c r="F43" s="7" t="s">
        <v>20</v>
      </c>
      <c r="G43" s="7" t="s">
        <v>150</v>
      </c>
      <c r="H43" s="7">
        <v>22</v>
      </c>
      <c r="I43" s="9">
        <v>260</v>
      </c>
      <c r="J43" s="10">
        <v>0</v>
      </c>
      <c r="K43" s="7" t="s">
        <v>30</v>
      </c>
      <c r="L43" s="7" t="s">
        <v>7</v>
      </c>
      <c r="M43" s="7" t="s">
        <v>16</v>
      </c>
      <c r="N43" s="3">
        <f>Table1[[#This Row],[Quantity]]*Table1[[#This Row],[Unit_Price_INR]]</f>
        <v>5720</v>
      </c>
      <c r="O43" s="3">
        <f>Table1[[#This Row],[Grow Sales]]*Table1[[#This Row],[Discount_Rate]]</f>
        <v>0</v>
      </c>
      <c r="P43" s="3">
        <f>Table1[[#This Row],[Grow Sales]]-Table1[[#This Row],[Discount Amount]]</f>
        <v>5720</v>
      </c>
      <c r="Q43" s="3" t="str">
        <f>TEXT(Table1[[#This Row],[Date]],"MMM-ddd-yyyy")</f>
        <v>Mar-Mon-2026</v>
      </c>
      <c r="R43" s="3" t="str">
        <f>IF(OR(Table1[[#This Row],[Status]]="Pending",Table1[[#This Row],[Status]]="Refunded"),"Review","OK")</f>
        <v>OK</v>
      </c>
      <c r="S43" s="3" t="str">
        <f>IF(Table1[[#This Row],[Net Sales]]&gt;=25000,"High",IF(Table1[[#This Row],[Net Sales]]&gt;=10000,"Medium","Low"))</f>
        <v>Low</v>
      </c>
      <c r="T43" s="3" t="str">
        <f>IF(AND(Table1[[#This Row],[Quantity]]&gt;=5,Table1[[#This Row],[Discount_Rate]]&gt;=10%),"Review","OK")</f>
        <v>OK</v>
      </c>
      <c r="U43" s="3" t="str">
        <f>IF(OR(Table1[[#This Row],[Payment_Method]]="Cash",Table1[[#This Row],[Payment_Method]]="UPI"),"YES","NO")</f>
        <v>NO</v>
      </c>
      <c r="V43" s="3">
        <f>IFERROR(Table1[[#This Row],[Net Sales]]/Table1[[#This Row],[Quantity]],"check data")</f>
        <v>260</v>
      </c>
      <c r="W43" s="3" t="str">
        <f>PROPER(TRIM(Table1[[#This Row],[Customer_Name]]))</f>
        <v>Pioneer Distributors</v>
      </c>
      <c r="X43" s="3" t="str">
        <f>UPPER(TRIM(Table1[[#This Row],[Region]]))</f>
        <v>SOUTH</v>
      </c>
      <c r="Y43" s="3" t="str">
        <f>TEXT(Table1[[#This Row],[Date]],"MMMM-yyyy")</f>
        <v>March-2026</v>
      </c>
      <c r="Z43" s="3" t="str">
        <f>MID(Table1[[#This Row],[Transaction_ID]],4,6)</f>
        <v>1042</v>
      </c>
      <c r="AA43" s="3" t="str">
        <f>Table1[[#This Row],[Region]]&amp;"-"&amp;Table1[[#This Row],[Category]]</f>
        <v>South-Grocery</v>
      </c>
    </row>
    <row r="44" spans="1:27">
      <c r="A44" s="3" t="s">
        <v>193</v>
      </c>
      <c r="B44" s="4">
        <v>46136</v>
      </c>
      <c r="C44" s="3" t="s">
        <v>1</v>
      </c>
      <c r="D44" s="3" t="s">
        <v>26</v>
      </c>
      <c r="E44" s="3" t="s">
        <v>194</v>
      </c>
      <c r="F44" s="3" t="s">
        <v>20</v>
      </c>
      <c r="G44" s="3" t="s">
        <v>195</v>
      </c>
      <c r="H44" s="3">
        <v>16</v>
      </c>
      <c r="I44" s="5">
        <v>880</v>
      </c>
      <c r="J44" s="6">
        <v>0.02</v>
      </c>
      <c r="K44" s="3" t="s">
        <v>30</v>
      </c>
      <c r="L44" s="3" t="s">
        <v>7</v>
      </c>
      <c r="M44" s="3" t="s">
        <v>8</v>
      </c>
      <c r="N44" s="3">
        <f>Table1[[#This Row],[Quantity]]*Table1[[#This Row],[Unit_Price_INR]]</f>
        <v>14080</v>
      </c>
      <c r="O44" s="3">
        <f>Table1[[#This Row],[Grow Sales]]*Table1[[#This Row],[Discount_Rate]]</f>
        <v>281.60000000000002</v>
      </c>
      <c r="P44" s="3">
        <f>Table1[[#This Row],[Grow Sales]]-Table1[[#This Row],[Discount Amount]]</f>
        <v>13798.4</v>
      </c>
      <c r="Q44" s="3" t="str">
        <f>TEXT(Table1[[#This Row],[Date]],"MMM-ddd-yyyy")</f>
        <v>Apr-Fri-2026</v>
      </c>
      <c r="R44" s="3" t="str">
        <f>IF(OR(Table1[[#This Row],[Status]]="Pending",Table1[[#This Row],[Status]]="Refunded"),"Review","OK")</f>
        <v>OK</v>
      </c>
      <c r="S44" s="3" t="str">
        <f>IF(Table1[[#This Row],[Net Sales]]&gt;=25000,"High",IF(Table1[[#This Row],[Net Sales]]&gt;=10000,"Medium","Low"))</f>
        <v>Medium</v>
      </c>
      <c r="T44" s="3" t="str">
        <f>IF(AND(Table1[[#This Row],[Quantity]]&gt;=5,Table1[[#This Row],[Discount_Rate]]&gt;=10%),"Review","OK")</f>
        <v>OK</v>
      </c>
      <c r="U44" s="3" t="str">
        <f>IF(OR(Table1[[#This Row],[Payment_Method]]="Cash",Table1[[#This Row],[Payment_Method]]="UPI"),"YES","NO")</f>
        <v>NO</v>
      </c>
      <c r="V44" s="3">
        <f>IFERROR(Table1[[#This Row],[Net Sales]]/Table1[[#This Row],[Quantity]],"check data")</f>
        <v>862.4</v>
      </c>
      <c r="W44" s="3" t="str">
        <f>PROPER(TRIM(Table1[[#This Row],[Customer_Name]]))</f>
        <v>Ember Distributors</v>
      </c>
      <c r="X44" s="3" t="str">
        <f>UPPER(TRIM(Table1[[#This Row],[Region]]))</f>
        <v>NORTH</v>
      </c>
      <c r="Y44" s="3" t="str">
        <f>TEXT(Table1[[#This Row],[Date]],"MMMM-yyyy")</f>
        <v>April-2026</v>
      </c>
      <c r="Z44" s="3" t="str">
        <f>MID(Table1[[#This Row],[Transaction_ID]],4,6)</f>
        <v>1057</v>
      </c>
      <c r="AA44" s="3" t="str">
        <f>Table1[[#This Row],[Region]]&amp;"-"&amp;Table1[[#This Row],[Category]]</f>
        <v>North-Grocery</v>
      </c>
    </row>
    <row r="45" spans="1:27" hidden="1">
      <c r="A45" s="7" t="s">
        <v>154</v>
      </c>
      <c r="B45" s="8">
        <v>46108</v>
      </c>
      <c r="C45" s="7" t="s">
        <v>25</v>
      </c>
      <c r="D45" s="7" t="s">
        <v>2</v>
      </c>
      <c r="E45" s="7" t="s">
        <v>155</v>
      </c>
      <c r="F45" s="7" t="s">
        <v>28</v>
      </c>
      <c r="G45" s="7" t="s">
        <v>156</v>
      </c>
      <c r="H45" s="7">
        <v>20</v>
      </c>
      <c r="I45" s="9">
        <v>125</v>
      </c>
      <c r="J45" s="10">
        <v>0</v>
      </c>
      <c r="K45" s="7" t="s">
        <v>22</v>
      </c>
      <c r="L45" s="7" t="s">
        <v>7</v>
      </c>
      <c r="M45" s="7" t="s">
        <v>31</v>
      </c>
      <c r="N45" s="3">
        <f>Table1[[#This Row],[Quantity]]*Table1[[#This Row],[Unit_Price_INR]]</f>
        <v>2500</v>
      </c>
      <c r="O45" s="3">
        <f>Table1[[#This Row],[Grow Sales]]*Table1[[#This Row],[Discount_Rate]]</f>
        <v>0</v>
      </c>
      <c r="P45" s="3">
        <f>Table1[[#This Row],[Grow Sales]]-Table1[[#This Row],[Discount Amount]]</f>
        <v>2500</v>
      </c>
      <c r="Q45" s="3" t="str">
        <f>TEXT(Table1[[#This Row],[Date]],"MMM-ddd-yyyy")</f>
        <v>Mar-Fri-2026</v>
      </c>
      <c r="R45" s="3" t="str">
        <f>IF(OR(Table1[[#This Row],[Status]]="Pending",Table1[[#This Row],[Status]]="Refunded"),"Review","OK")</f>
        <v>OK</v>
      </c>
      <c r="S45" s="3" t="str">
        <f>IF(Table1[[#This Row],[Net Sales]]&gt;=25000,"High",IF(Table1[[#This Row],[Net Sales]]&gt;=10000,"Medium","Low"))</f>
        <v>Low</v>
      </c>
      <c r="T45" s="3" t="str">
        <f>IF(AND(Table1[[#This Row],[Quantity]]&gt;=5,Table1[[#This Row],[Discount_Rate]]&gt;=10%),"Review","OK")</f>
        <v>OK</v>
      </c>
      <c r="U45" s="3" t="str">
        <f>IF(OR(Table1[[#This Row],[Payment_Method]]="Cash",Table1[[#This Row],[Payment_Method]]="UPI"),"YES","NO")</f>
        <v>YES</v>
      </c>
      <c r="V45" s="3">
        <f>IFERROR(Table1[[#This Row],[Net Sales]]/Table1[[#This Row],[Quantity]],"check data")</f>
        <v>125</v>
      </c>
      <c r="W45" s="3" t="str">
        <f>PROPER(TRIM(Table1[[#This Row],[Customer_Name]]))</f>
        <v>River Store</v>
      </c>
      <c r="X45" s="3" t="str">
        <f>UPPER(TRIM(Table1[[#This Row],[Region]]))</f>
        <v>EAST</v>
      </c>
      <c r="Y45" s="3" t="str">
        <f>TEXT(Table1[[#This Row],[Date]],"MMMM-yyyy")</f>
        <v>March-2026</v>
      </c>
      <c r="Z45" s="3" t="str">
        <f>MID(Table1[[#This Row],[Transaction_ID]],4,6)</f>
        <v>1044</v>
      </c>
      <c r="AA45" s="3" t="str">
        <f>Table1[[#This Row],[Region]]&amp;"-"&amp;Table1[[#This Row],[Category]]</f>
        <v>East-Office</v>
      </c>
    </row>
    <row r="46" spans="1:27">
      <c r="A46" s="7" t="s">
        <v>124</v>
      </c>
      <c r="B46" s="8">
        <v>46087</v>
      </c>
      <c r="C46" s="7" t="s">
        <v>10</v>
      </c>
      <c r="D46" s="7" t="s">
        <v>11</v>
      </c>
      <c r="E46" s="7" t="s">
        <v>125</v>
      </c>
      <c r="F46" s="7" t="s">
        <v>28</v>
      </c>
      <c r="G46" s="7" t="s">
        <v>126</v>
      </c>
      <c r="H46" s="7">
        <v>10</v>
      </c>
      <c r="I46" s="9">
        <v>1450</v>
      </c>
      <c r="J46" s="10">
        <v>0.05</v>
      </c>
      <c r="K46" s="7" t="s">
        <v>15</v>
      </c>
      <c r="L46" s="7" t="s">
        <v>7</v>
      </c>
      <c r="M46" s="7" t="s">
        <v>39</v>
      </c>
      <c r="N46" s="3">
        <f>Table1[[#This Row],[Quantity]]*Table1[[#This Row],[Unit_Price_INR]]</f>
        <v>14500</v>
      </c>
      <c r="O46" s="3">
        <f>Table1[[#This Row],[Grow Sales]]*Table1[[#This Row],[Discount_Rate]]</f>
        <v>725</v>
      </c>
      <c r="P46" s="3">
        <f>Table1[[#This Row],[Grow Sales]]-Table1[[#This Row],[Discount Amount]]</f>
        <v>13775</v>
      </c>
      <c r="Q46" s="3" t="str">
        <f>TEXT(Table1[[#This Row],[Date]],"MMM-ddd-yyyy")</f>
        <v>Mar-Fri-2026</v>
      </c>
      <c r="R46" s="3" t="str">
        <f>IF(OR(Table1[[#This Row],[Status]]="Pending",Table1[[#This Row],[Status]]="Refunded"),"Review","OK")</f>
        <v>OK</v>
      </c>
      <c r="S46" s="3" t="str">
        <f>IF(Table1[[#This Row],[Net Sales]]&gt;=25000,"High",IF(Table1[[#This Row],[Net Sales]]&gt;=10000,"Medium","Low"))</f>
        <v>Medium</v>
      </c>
      <c r="T46" s="3" t="str">
        <f>IF(AND(Table1[[#This Row],[Quantity]]&gt;=5,Table1[[#This Row],[Discount_Rate]]&gt;=10%),"Review","OK")</f>
        <v>OK</v>
      </c>
      <c r="U46" s="3" t="str">
        <f>IF(OR(Table1[[#This Row],[Payment_Method]]="Cash",Table1[[#This Row],[Payment_Method]]="UPI"),"YES","NO")</f>
        <v>NO</v>
      </c>
      <c r="V46" s="3">
        <f>IFERROR(Table1[[#This Row],[Net Sales]]/Table1[[#This Row],[Quantity]],"check data")</f>
        <v>1377.5</v>
      </c>
      <c r="W46" s="3" t="str">
        <f>PROPER(TRIM(Table1[[#This Row],[Customer_Name]]))</f>
        <v>Hilltop Shop</v>
      </c>
      <c r="X46" s="3" t="str">
        <f>UPPER(TRIM(Table1[[#This Row],[Region]]))</f>
        <v>SOUTH</v>
      </c>
      <c r="Y46" s="3" t="str">
        <f>TEXT(Table1[[#This Row],[Date]],"MMMM-yyyy")</f>
        <v>March-2026</v>
      </c>
      <c r="Z46" s="3" t="str">
        <f>MID(Table1[[#This Row],[Transaction_ID]],4,6)</f>
        <v>1034</v>
      </c>
      <c r="AA46" s="3" t="str">
        <f>Table1[[#This Row],[Region]]&amp;"-"&amp;Table1[[#This Row],[Category]]</f>
        <v>South-Office</v>
      </c>
    </row>
    <row r="47" spans="1:27">
      <c r="A47" s="7" t="s">
        <v>93</v>
      </c>
      <c r="B47" s="8">
        <v>46063</v>
      </c>
      <c r="C47" s="7" t="s">
        <v>25</v>
      </c>
      <c r="D47" s="7" t="s">
        <v>26</v>
      </c>
      <c r="E47" s="7" t="s">
        <v>94</v>
      </c>
      <c r="F47" s="7" t="s">
        <v>4</v>
      </c>
      <c r="G47" s="7" t="s">
        <v>95</v>
      </c>
      <c r="H47" s="7">
        <v>15</v>
      </c>
      <c r="I47" s="9">
        <v>950</v>
      </c>
      <c r="J47" s="10">
        <v>0.04</v>
      </c>
      <c r="K47" s="7" t="s">
        <v>30</v>
      </c>
      <c r="L47" s="7" t="s">
        <v>7</v>
      </c>
      <c r="M47" s="7" t="s">
        <v>31</v>
      </c>
      <c r="N47" s="3">
        <f>Table1[[#This Row],[Quantity]]*Table1[[#This Row],[Unit_Price_INR]]</f>
        <v>14250</v>
      </c>
      <c r="O47" s="3">
        <f>Table1[[#This Row],[Grow Sales]]*Table1[[#This Row],[Discount_Rate]]</f>
        <v>570</v>
      </c>
      <c r="P47" s="3">
        <f>Table1[[#This Row],[Grow Sales]]-Table1[[#This Row],[Discount Amount]]</f>
        <v>13680</v>
      </c>
      <c r="Q47" s="3" t="str">
        <f>TEXT(Table1[[#This Row],[Date]],"MMM-ddd-yyyy")</f>
        <v>Feb-Tue-2026</v>
      </c>
      <c r="R47" s="3" t="str">
        <f>IF(OR(Table1[[#This Row],[Status]]="Pending",Table1[[#This Row],[Status]]="Refunded"),"Review","OK")</f>
        <v>OK</v>
      </c>
      <c r="S47" s="3" t="str">
        <f>IF(Table1[[#This Row],[Net Sales]]&gt;=25000,"High",IF(Table1[[#This Row],[Net Sales]]&gt;=10000,"Medium","Low"))</f>
        <v>Medium</v>
      </c>
      <c r="T47" s="3" t="str">
        <f>IF(AND(Table1[[#This Row],[Quantity]]&gt;=5,Table1[[#This Row],[Discount_Rate]]&gt;=10%),"Review","OK")</f>
        <v>OK</v>
      </c>
      <c r="U47" s="3" t="str">
        <f>IF(OR(Table1[[#This Row],[Payment_Method]]="Cash",Table1[[#This Row],[Payment_Method]]="UPI"),"YES","NO")</f>
        <v>NO</v>
      </c>
      <c r="V47" s="3">
        <f>IFERROR(Table1[[#This Row],[Net Sales]]/Table1[[#This Row],[Quantity]],"check data")</f>
        <v>912</v>
      </c>
      <c r="W47" s="3" t="str">
        <f>PROPER(TRIM(Table1[[#This Row],[Customer_Name]]))</f>
        <v>Xpress Distributors</v>
      </c>
      <c r="X47" s="3" t="str">
        <f>UPPER(TRIM(Table1[[#This Row],[Region]]))</f>
        <v>EAST</v>
      </c>
      <c r="Y47" s="3" t="str">
        <f>TEXT(Table1[[#This Row],[Date]],"MMMM-yyyy")</f>
        <v>February-2026</v>
      </c>
      <c r="Z47" s="3" t="str">
        <f>MID(Table1[[#This Row],[Transaction_ID]],4,6)</f>
        <v>1024</v>
      </c>
      <c r="AA47" s="3" t="str">
        <f>Table1[[#This Row],[Region]]&amp;"-"&amp;Table1[[#This Row],[Category]]</f>
        <v>East-Electronics</v>
      </c>
    </row>
    <row r="48" spans="1:27" hidden="1">
      <c r="A48" s="3" t="s">
        <v>163</v>
      </c>
      <c r="B48" s="4">
        <v>46116</v>
      </c>
      <c r="C48" s="3" t="s">
        <v>18</v>
      </c>
      <c r="D48" s="3" t="s">
        <v>2</v>
      </c>
      <c r="E48" s="3" t="s">
        <v>164</v>
      </c>
      <c r="F48" s="3" t="s">
        <v>20</v>
      </c>
      <c r="G48" s="3" t="s">
        <v>165</v>
      </c>
      <c r="H48" s="3">
        <v>14</v>
      </c>
      <c r="I48" s="5">
        <v>390</v>
      </c>
      <c r="J48" s="6">
        <v>0.03</v>
      </c>
      <c r="K48" s="3" t="s">
        <v>15</v>
      </c>
      <c r="L48" s="3" t="s">
        <v>7</v>
      </c>
      <c r="M48" s="3" t="s">
        <v>23</v>
      </c>
      <c r="N48" s="3">
        <f>Table1[[#This Row],[Quantity]]*Table1[[#This Row],[Unit_Price_INR]]</f>
        <v>5460</v>
      </c>
      <c r="O48" s="3">
        <f>Table1[[#This Row],[Grow Sales]]*Table1[[#This Row],[Discount_Rate]]</f>
        <v>163.79999999999998</v>
      </c>
      <c r="P48" s="3">
        <f>Table1[[#This Row],[Grow Sales]]-Table1[[#This Row],[Discount Amount]]</f>
        <v>5296.2</v>
      </c>
      <c r="Q48" s="3" t="str">
        <f>TEXT(Table1[[#This Row],[Date]],"MMM-ddd-yyyy")</f>
        <v>Apr-Sat-2026</v>
      </c>
      <c r="R48" s="3" t="str">
        <f>IF(OR(Table1[[#This Row],[Status]]="Pending",Table1[[#This Row],[Status]]="Refunded"),"Review","OK")</f>
        <v>OK</v>
      </c>
      <c r="S48" s="3" t="str">
        <f>IF(Table1[[#This Row],[Net Sales]]&gt;=25000,"High",IF(Table1[[#This Row],[Net Sales]]&gt;=10000,"Medium","Low"))</f>
        <v>Low</v>
      </c>
      <c r="T48" s="3" t="str">
        <f>IF(AND(Table1[[#This Row],[Quantity]]&gt;=5,Table1[[#This Row],[Discount_Rate]]&gt;=10%),"Review","OK")</f>
        <v>OK</v>
      </c>
      <c r="U48" s="3" t="str">
        <f>IF(OR(Table1[[#This Row],[Payment_Method]]="Cash",Table1[[#This Row],[Payment_Method]]="UPI"),"YES","NO")</f>
        <v>NO</v>
      </c>
      <c r="V48" s="3">
        <f>IFERROR(Table1[[#This Row],[Net Sales]]/Table1[[#This Row],[Quantity]],"check data")</f>
        <v>378.3</v>
      </c>
      <c r="W48" s="3" t="str">
        <f>PROPER(TRIM(Table1[[#This Row],[Customer_Name]]))</f>
        <v>Uptown Market</v>
      </c>
      <c r="X48" s="3" t="str">
        <f>UPPER(TRIM(Table1[[#This Row],[Region]]))</f>
        <v>WEST</v>
      </c>
      <c r="Y48" s="3" t="str">
        <f>TEXT(Table1[[#This Row],[Date]],"MMMM-yyyy")</f>
        <v>April-2026</v>
      </c>
      <c r="Z48" s="3" t="str">
        <f>MID(Table1[[#This Row],[Transaction_ID]],4,6)</f>
        <v>1047</v>
      </c>
      <c r="AA48" s="3" t="str">
        <f>Table1[[#This Row],[Region]]&amp;"-"&amp;Table1[[#This Row],[Category]]</f>
        <v>West-Grocery</v>
      </c>
    </row>
    <row r="49" spans="1:27">
      <c r="A49" s="3" t="s">
        <v>175</v>
      </c>
      <c r="B49" s="4">
        <v>46124</v>
      </c>
      <c r="C49" s="3" t="s">
        <v>18</v>
      </c>
      <c r="D49" s="3" t="s">
        <v>26</v>
      </c>
      <c r="E49" s="3" t="s">
        <v>176</v>
      </c>
      <c r="F49" s="3" t="s">
        <v>34</v>
      </c>
      <c r="G49" s="3" t="s">
        <v>177</v>
      </c>
      <c r="H49" s="3">
        <v>4</v>
      </c>
      <c r="I49" s="5">
        <v>3600</v>
      </c>
      <c r="J49" s="6">
        <v>0.05</v>
      </c>
      <c r="K49" s="3" t="s">
        <v>30</v>
      </c>
      <c r="L49" s="3" t="s">
        <v>7</v>
      </c>
      <c r="M49" s="3" t="s">
        <v>23</v>
      </c>
      <c r="N49" s="3">
        <f>Table1[[#This Row],[Quantity]]*Table1[[#This Row],[Unit_Price_INR]]</f>
        <v>14400</v>
      </c>
      <c r="O49" s="3">
        <f>Table1[[#This Row],[Grow Sales]]*Table1[[#This Row],[Discount_Rate]]</f>
        <v>720</v>
      </c>
      <c r="P49" s="3">
        <f>Table1[[#This Row],[Grow Sales]]-Table1[[#This Row],[Discount Amount]]</f>
        <v>13680</v>
      </c>
      <c r="Q49" s="3" t="str">
        <f>TEXT(Table1[[#This Row],[Date]],"MMM-ddd-yyyy")</f>
        <v>Apr-Sun-2026</v>
      </c>
      <c r="R49" s="3" t="str">
        <f>IF(OR(Table1[[#This Row],[Status]]="Pending",Table1[[#This Row],[Status]]="Refunded"),"Review","OK")</f>
        <v>OK</v>
      </c>
      <c r="S49" s="3" t="str">
        <f>IF(Table1[[#This Row],[Net Sales]]&gt;=25000,"High",IF(Table1[[#This Row],[Net Sales]]&gt;=10000,"Medium","Low"))</f>
        <v>Medium</v>
      </c>
      <c r="T49" s="3" t="str">
        <f>IF(AND(Table1[[#This Row],[Quantity]]&gt;=5,Table1[[#This Row],[Discount_Rate]]&gt;=10%),"Review","OK")</f>
        <v>OK</v>
      </c>
      <c r="U49" s="3" t="str">
        <f>IF(OR(Table1[[#This Row],[Payment_Method]]="Cash",Table1[[#This Row],[Payment_Method]]="UPI"),"YES","NO")</f>
        <v>NO</v>
      </c>
      <c r="V49" s="3">
        <f>IFERROR(Table1[[#This Row],[Net Sales]]/Table1[[#This Row],[Quantity]],"check data")</f>
        <v>3420</v>
      </c>
      <c r="W49" s="3" t="str">
        <f>PROPER(TRIM(Table1[[#This Row],[Customer_Name]]))</f>
        <v>Yonder Distributors</v>
      </c>
      <c r="X49" s="3" t="str">
        <f>UPPER(TRIM(Table1[[#This Row],[Region]]))</f>
        <v>WEST</v>
      </c>
      <c r="Y49" s="3" t="str">
        <f>TEXT(Table1[[#This Row],[Date]],"MMMM-yyyy")</f>
        <v>April-2026</v>
      </c>
      <c r="Z49" s="3" t="str">
        <f>MID(Table1[[#This Row],[Transaction_ID]],4,6)</f>
        <v>1051</v>
      </c>
      <c r="AA49" s="3" t="str">
        <f>Table1[[#This Row],[Region]]&amp;"-"&amp;Table1[[#This Row],[Category]]</f>
        <v>West-Fashion</v>
      </c>
    </row>
    <row r="50" spans="1:27">
      <c r="A50" s="3" t="s">
        <v>96</v>
      </c>
      <c r="B50" s="4">
        <v>46065</v>
      </c>
      <c r="C50" s="3" t="s">
        <v>1</v>
      </c>
      <c r="D50" s="3" t="s">
        <v>11</v>
      </c>
      <c r="E50" s="3" t="s">
        <v>97</v>
      </c>
      <c r="F50" s="3" t="s">
        <v>34</v>
      </c>
      <c r="G50" s="3" t="s">
        <v>98</v>
      </c>
      <c r="H50" s="3">
        <v>9</v>
      </c>
      <c r="I50" s="5">
        <v>1750</v>
      </c>
      <c r="J50" s="6">
        <v>0.15</v>
      </c>
      <c r="K50" s="3" t="s">
        <v>15</v>
      </c>
      <c r="L50" s="3" t="s">
        <v>7</v>
      </c>
      <c r="M50" s="3" t="s">
        <v>8</v>
      </c>
      <c r="N50" s="3">
        <f>Table1[[#This Row],[Quantity]]*Table1[[#This Row],[Unit_Price_INR]]</f>
        <v>15750</v>
      </c>
      <c r="O50" s="3">
        <f>Table1[[#This Row],[Grow Sales]]*Table1[[#This Row],[Discount_Rate]]</f>
        <v>2362.5</v>
      </c>
      <c r="P50" s="3">
        <f>Table1[[#This Row],[Grow Sales]]-Table1[[#This Row],[Discount Amount]]</f>
        <v>13387.5</v>
      </c>
      <c r="Q50" s="3" t="str">
        <f>TEXT(Table1[[#This Row],[Date]],"MMM-ddd-yyyy")</f>
        <v>Feb-Thu-2026</v>
      </c>
      <c r="R50" s="3" t="str">
        <f>IF(OR(Table1[[#This Row],[Status]]="Pending",Table1[[#This Row],[Status]]="Refunded"),"Review","OK")</f>
        <v>OK</v>
      </c>
      <c r="S50" s="3" t="str">
        <f>IF(Table1[[#This Row],[Net Sales]]&gt;=25000,"High",IF(Table1[[#This Row],[Net Sales]]&gt;=10000,"Medium","Low"))</f>
        <v>Medium</v>
      </c>
      <c r="T50" s="3" t="str">
        <f>IF(AND(Table1[[#This Row],[Quantity]]&gt;=5,Table1[[#This Row],[Discount_Rate]]&gt;=10%),"Review","OK")</f>
        <v>Review</v>
      </c>
      <c r="U50" s="3" t="str">
        <f>IF(OR(Table1[[#This Row],[Payment_Method]]="Cash",Table1[[#This Row],[Payment_Method]]="UPI"),"YES","NO")</f>
        <v>NO</v>
      </c>
      <c r="V50" s="3">
        <f>IFERROR(Table1[[#This Row],[Net Sales]]/Table1[[#This Row],[Quantity]],"check data")</f>
        <v>1487.5</v>
      </c>
      <c r="W50" s="3" t="str">
        <f>PROPER(TRIM(Table1[[#This Row],[Customer_Name]]))</f>
        <v>Yellow Basket</v>
      </c>
      <c r="X50" s="3" t="str">
        <f>UPPER(TRIM(Table1[[#This Row],[Region]]))</f>
        <v>NORTH</v>
      </c>
      <c r="Y50" s="3" t="str">
        <f>TEXT(Table1[[#This Row],[Date]],"MMMM-yyyy")</f>
        <v>February-2026</v>
      </c>
      <c r="Z50" s="3" t="str">
        <f>MID(Table1[[#This Row],[Transaction_ID]],4,6)</f>
        <v>1025</v>
      </c>
      <c r="AA50" s="3" t="str">
        <f>Table1[[#This Row],[Region]]&amp;"-"&amp;Table1[[#This Row],[Category]]</f>
        <v>North-Fashion</v>
      </c>
    </row>
    <row r="51" spans="1:27" hidden="1">
      <c r="A51" s="7" t="s">
        <v>172</v>
      </c>
      <c r="B51" s="8">
        <v>46122</v>
      </c>
      <c r="C51" s="7" t="s">
        <v>10</v>
      </c>
      <c r="D51" s="7" t="s">
        <v>2</v>
      </c>
      <c r="E51" s="7" t="s">
        <v>173</v>
      </c>
      <c r="F51" s="7" t="s">
        <v>28</v>
      </c>
      <c r="G51" s="7" t="s">
        <v>174</v>
      </c>
      <c r="H51" s="7">
        <v>30</v>
      </c>
      <c r="I51" s="9">
        <v>220</v>
      </c>
      <c r="J51" s="10">
        <v>0</v>
      </c>
      <c r="K51" s="7" t="s">
        <v>22</v>
      </c>
      <c r="L51" s="7" t="s">
        <v>7</v>
      </c>
      <c r="M51" s="7" t="s">
        <v>39</v>
      </c>
      <c r="N51" s="3">
        <f>Table1[[#This Row],[Quantity]]*Table1[[#This Row],[Unit_Price_INR]]</f>
        <v>6600</v>
      </c>
      <c r="O51" s="3">
        <f>Table1[[#This Row],[Grow Sales]]*Table1[[#This Row],[Discount_Rate]]</f>
        <v>0</v>
      </c>
      <c r="P51" s="3">
        <f>Table1[[#This Row],[Grow Sales]]-Table1[[#This Row],[Discount Amount]]</f>
        <v>6600</v>
      </c>
      <c r="Q51" s="3" t="str">
        <f>TEXT(Table1[[#This Row],[Date]],"MMM-ddd-yyyy")</f>
        <v>Apr-Fri-2026</v>
      </c>
      <c r="R51" s="3" t="str">
        <f>IF(OR(Table1[[#This Row],[Status]]="Pending",Table1[[#This Row],[Status]]="Refunded"),"Review","OK")</f>
        <v>OK</v>
      </c>
      <c r="S51" s="3" t="str">
        <f>IF(Table1[[#This Row],[Net Sales]]&gt;=25000,"High",IF(Table1[[#This Row],[Net Sales]]&gt;=10000,"Medium","Low"))</f>
        <v>Low</v>
      </c>
      <c r="T51" s="3" t="str">
        <f>IF(AND(Table1[[#This Row],[Quantity]]&gt;=5,Table1[[#This Row],[Discount_Rate]]&gt;=10%),"Review","OK")</f>
        <v>OK</v>
      </c>
      <c r="U51" s="3" t="str">
        <f>IF(OR(Table1[[#This Row],[Payment_Method]]="Cash",Table1[[#This Row],[Payment_Method]]="UPI"),"YES","NO")</f>
        <v>YES</v>
      </c>
      <c r="V51" s="3">
        <f>IFERROR(Table1[[#This Row],[Net Sales]]/Table1[[#This Row],[Quantity]],"check data")</f>
        <v>220</v>
      </c>
      <c r="W51" s="3" t="str">
        <f>PROPER(TRIM(Table1[[#This Row],[Customer_Name]]))</f>
        <v>Xenia Stores</v>
      </c>
      <c r="X51" s="3" t="str">
        <f>UPPER(TRIM(Table1[[#This Row],[Region]]))</f>
        <v>SOUTH</v>
      </c>
      <c r="Y51" s="3" t="str">
        <f>TEXT(Table1[[#This Row],[Date]],"MMMM-yyyy")</f>
        <v>April-2026</v>
      </c>
      <c r="Z51" s="3" t="str">
        <f>MID(Table1[[#This Row],[Transaction_ID]],4,6)</f>
        <v>1050</v>
      </c>
      <c r="AA51" s="3" t="str">
        <f>Table1[[#This Row],[Region]]&amp;"-"&amp;Table1[[#This Row],[Category]]</f>
        <v>South-Office</v>
      </c>
    </row>
    <row r="52" spans="1:27">
      <c r="A52" s="7" t="s">
        <v>160</v>
      </c>
      <c r="B52" s="8">
        <v>46114</v>
      </c>
      <c r="C52" s="7" t="s">
        <v>10</v>
      </c>
      <c r="D52" s="7" t="s">
        <v>11</v>
      </c>
      <c r="E52" s="7" t="s">
        <v>161</v>
      </c>
      <c r="F52" s="7" t="s">
        <v>34</v>
      </c>
      <c r="G52" s="7" t="s">
        <v>162</v>
      </c>
      <c r="H52" s="7">
        <v>11</v>
      </c>
      <c r="I52" s="9">
        <v>1350</v>
      </c>
      <c r="J52" s="10">
        <v>0.1</v>
      </c>
      <c r="K52" s="7" t="s">
        <v>6</v>
      </c>
      <c r="L52" s="7" t="s">
        <v>7</v>
      </c>
      <c r="M52" s="7" t="s">
        <v>39</v>
      </c>
      <c r="N52" s="3">
        <f>Table1[[#This Row],[Quantity]]*Table1[[#This Row],[Unit_Price_INR]]</f>
        <v>14850</v>
      </c>
      <c r="O52" s="3">
        <f>Table1[[#This Row],[Grow Sales]]*Table1[[#This Row],[Discount_Rate]]</f>
        <v>1485</v>
      </c>
      <c r="P52" s="3">
        <f>Table1[[#This Row],[Grow Sales]]-Table1[[#This Row],[Discount Amount]]</f>
        <v>13365</v>
      </c>
      <c r="Q52" s="3" t="str">
        <f>TEXT(Table1[[#This Row],[Date]],"MMM-ddd-yyyy")</f>
        <v>Apr-Thu-2026</v>
      </c>
      <c r="R52" s="3" t="str">
        <f>IF(OR(Table1[[#This Row],[Status]]="Pending",Table1[[#This Row],[Status]]="Refunded"),"Review","OK")</f>
        <v>OK</v>
      </c>
      <c r="S52" s="3" t="str">
        <f>IF(Table1[[#This Row],[Net Sales]]&gt;=25000,"High",IF(Table1[[#This Row],[Net Sales]]&gt;=10000,"Medium","Low"))</f>
        <v>Medium</v>
      </c>
      <c r="T52" s="3" t="str">
        <f>IF(AND(Table1[[#This Row],[Quantity]]&gt;=5,Table1[[#This Row],[Discount_Rate]]&gt;=10%),"Review","OK")</f>
        <v>Review</v>
      </c>
      <c r="U52" s="3" t="str">
        <f>IF(OR(Table1[[#This Row],[Payment_Method]]="Cash",Table1[[#This Row],[Payment_Method]]="UPI"),"YES","NO")</f>
        <v>YES</v>
      </c>
      <c r="V52" s="3">
        <f>IFERROR(Table1[[#This Row],[Net Sales]]/Table1[[#This Row],[Quantity]],"check data")</f>
        <v>1215</v>
      </c>
      <c r="W52" s="3" t="str">
        <f>PROPER(TRIM(Table1[[#This Row],[Customer_Name]]))</f>
        <v>Topaz Shop</v>
      </c>
      <c r="X52" s="3" t="str">
        <f>UPPER(TRIM(Table1[[#This Row],[Region]]))</f>
        <v>SOUTH</v>
      </c>
      <c r="Y52" s="3" t="str">
        <f>TEXT(Table1[[#This Row],[Date]],"MMMM-yyyy")</f>
        <v>April-2026</v>
      </c>
      <c r="Z52" s="3" t="str">
        <f>MID(Table1[[#This Row],[Transaction_ID]],4,6)</f>
        <v>1046</v>
      </c>
      <c r="AA52" s="3" t="str">
        <f>Table1[[#This Row],[Region]]&amp;"-"&amp;Table1[[#This Row],[Category]]</f>
        <v>South-Fashion</v>
      </c>
    </row>
    <row r="53" spans="1:27" hidden="1">
      <c r="A53" s="7" t="s">
        <v>178</v>
      </c>
      <c r="B53" s="8">
        <v>46126</v>
      </c>
      <c r="C53" s="7" t="s">
        <v>25</v>
      </c>
      <c r="D53" s="7" t="s">
        <v>11</v>
      </c>
      <c r="E53" s="7" t="s">
        <v>179</v>
      </c>
      <c r="F53" s="7" t="s">
        <v>20</v>
      </c>
      <c r="G53" s="7" t="s">
        <v>180</v>
      </c>
      <c r="H53" s="7">
        <v>12</v>
      </c>
      <c r="I53" s="9">
        <v>440</v>
      </c>
      <c r="J53" s="10">
        <v>0.04</v>
      </c>
      <c r="K53" s="7" t="s">
        <v>6</v>
      </c>
      <c r="L53" s="7" t="s">
        <v>7</v>
      </c>
      <c r="M53" s="7" t="s">
        <v>31</v>
      </c>
      <c r="N53" s="3">
        <f>Table1[[#This Row],[Quantity]]*Table1[[#This Row],[Unit_Price_INR]]</f>
        <v>5280</v>
      </c>
      <c r="O53" s="3">
        <f>Table1[[#This Row],[Grow Sales]]*Table1[[#This Row],[Discount_Rate]]</f>
        <v>211.20000000000002</v>
      </c>
      <c r="P53" s="3">
        <f>Table1[[#This Row],[Grow Sales]]-Table1[[#This Row],[Discount Amount]]</f>
        <v>5068.8</v>
      </c>
      <c r="Q53" s="3" t="str">
        <f>TEXT(Table1[[#This Row],[Date]],"MMM-ddd-yyyy")</f>
        <v>Apr-Tue-2026</v>
      </c>
      <c r="R53" s="3" t="str">
        <f>IF(OR(Table1[[#This Row],[Status]]="Pending",Table1[[#This Row],[Status]]="Refunded"),"Review","OK")</f>
        <v>OK</v>
      </c>
      <c r="S53" s="3" t="str">
        <f>IF(Table1[[#This Row],[Net Sales]]&gt;=25000,"High",IF(Table1[[#This Row],[Net Sales]]&gt;=10000,"Medium","Low"))</f>
        <v>Low</v>
      </c>
      <c r="T53" s="3" t="str">
        <f>IF(AND(Table1[[#This Row],[Quantity]]&gt;=5,Table1[[#This Row],[Discount_Rate]]&gt;=10%),"Review","OK")</f>
        <v>OK</v>
      </c>
      <c r="U53" s="3" t="str">
        <f>IF(OR(Table1[[#This Row],[Payment_Method]]="Cash",Table1[[#This Row],[Payment_Method]]="UPI"),"YES","NO")</f>
        <v>YES</v>
      </c>
      <c r="V53" s="3">
        <f>IFERROR(Table1[[#This Row],[Net Sales]]/Table1[[#This Row],[Quantity]],"check data")</f>
        <v>422.40000000000003</v>
      </c>
      <c r="W53" s="3" t="str">
        <f>PROPER(TRIM(Table1[[#This Row],[Customer_Name]]))</f>
        <v>Zest Shop</v>
      </c>
      <c r="X53" s="3" t="str">
        <f>UPPER(TRIM(Table1[[#This Row],[Region]]))</f>
        <v>EAST</v>
      </c>
      <c r="Y53" s="3" t="str">
        <f>TEXT(Table1[[#This Row],[Date]],"MMMM-yyyy")</f>
        <v>April-2026</v>
      </c>
      <c r="Z53" s="3" t="str">
        <f>MID(Table1[[#This Row],[Transaction_ID]],4,6)</f>
        <v>1052</v>
      </c>
      <c r="AA53" s="3" t="str">
        <f>Table1[[#This Row],[Region]]&amp;"-"&amp;Table1[[#This Row],[Category]]</f>
        <v>East-Grocery</v>
      </c>
    </row>
    <row r="54" spans="1:27">
      <c r="A54" s="7" t="s">
        <v>57</v>
      </c>
      <c r="B54" s="8">
        <v>46039</v>
      </c>
      <c r="C54" s="7" t="s">
        <v>25</v>
      </c>
      <c r="D54" s="7" t="s">
        <v>26</v>
      </c>
      <c r="E54" s="7" t="s">
        <v>58</v>
      </c>
      <c r="F54" s="7" t="s">
        <v>20</v>
      </c>
      <c r="G54" s="7" t="s">
        <v>59</v>
      </c>
      <c r="H54" s="7">
        <v>20</v>
      </c>
      <c r="I54" s="9">
        <v>650</v>
      </c>
      <c r="J54" s="10">
        <v>0.02</v>
      </c>
      <c r="K54" s="7" t="s">
        <v>30</v>
      </c>
      <c r="L54" s="7" t="s">
        <v>7</v>
      </c>
      <c r="M54" s="7" t="s">
        <v>31</v>
      </c>
      <c r="N54" s="3">
        <f>Table1[[#This Row],[Quantity]]*Table1[[#This Row],[Unit_Price_INR]]</f>
        <v>13000</v>
      </c>
      <c r="O54" s="3">
        <f>Table1[[#This Row],[Grow Sales]]*Table1[[#This Row],[Discount_Rate]]</f>
        <v>260</v>
      </c>
      <c r="P54" s="3">
        <f>Table1[[#This Row],[Grow Sales]]-Table1[[#This Row],[Discount Amount]]</f>
        <v>12740</v>
      </c>
      <c r="Q54" s="3" t="str">
        <f>TEXT(Table1[[#This Row],[Date]],"MMM-ddd-yyyy")</f>
        <v>Jan-Sat-2026</v>
      </c>
      <c r="R54" s="3" t="str">
        <f>IF(OR(Table1[[#This Row],[Status]]="Pending",Table1[[#This Row],[Status]]="Refunded"),"Review","OK")</f>
        <v>OK</v>
      </c>
      <c r="S54" s="3" t="str">
        <f>IF(Table1[[#This Row],[Net Sales]]&gt;=25000,"High",IF(Table1[[#This Row],[Net Sales]]&gt;=10000,"Medium","Low"))</f>
        <v>Medium</v>
      </c>
      <c r="T54" s="3" t="str">
        <f>IF(AND(Table1[[#This Row],[Quantity]]&gt;=5,Table1[[#This Row],[Discount_Rate]]&gt;=10%),"Review","OK")</f>
        <v>OK</v>
      </c>
      <c r="U54" s="3" t="str">
        <f>IF(OR(Table1[[#This Row],[Payment_Method]]="Cash",Table1[[#This Row],[Payment_Method]]="UPI"),"YES","NO")</f>
        <v>NO</v>
      </c>
      <c r="V54" s="3">
        <f>IFERROR(Table1[[#This Row],[Net Sales]]/Table1[[#This Row],[Quantity]],"check data")</f>
        <v>637</v>
      </c>
      <c r="W54" s="3" t="str">
        <f>PROPER(TRIM(Table1[[#This Row],[Customer_Name]]))</f>
        <v>Lotus Distributors</v>
      </c>
      <c r="X54" s="3" t="str">
        <f>UPPER(TRIM(Table1[[#This Row],[Region]]))</f>
        <v>EAST</v>
      </c>
      <c r="Y54" s="3" t="str">
        <f>TEXT(Table1[[#This Row],[Date]],"MMMM-yyyy")</f>
        <v>January-2026</v>
      </c>
      <c r="Z54" s="3" t="str">
        <f>MID(Table1[[#This Row],[Transaction_ID]],4,6)</f>
        <v>1012</v>
      </c>
      <c r="AA54" s="3" t="str">
        <f>Table1[[#This Row],[Region]]&amp;"-"&amp;Table1[[#This Row],[Category]]</f>
        <v>East-Grocery</v>
      </c>
    </row>
    <row r="55" spans="1:27" hidden="1">
      <c r="A55" s="7" t="s">
        <v>184</v>
      </c>
      <c r="B55" s="8">
        <v>46130</v>
      </c>
      <c r="C55" s="7" t="s">
        <v>10</v>
      </c>
      <c r="D55" s="7" t="s">
        <v>26</v>
      </c>
      <c r="E55" s="7" t="s">
        <v>185</v>
      </c>
      <c r="F55" s="7" t="s">
        <v>4</v>
      </c>
      <c r="G55" s="7" t="s">
        <v>186</v>
      </c>
      <c r="H55" s="7">
        <v>10</v>
      </c>
      <c r="I55" s="9">
        <v>2400</v>
      </c>
      <c r="J55" s="10">
        <v>0.06</v>
      </c>
      <c r="K55" s="7" t="s">
        <v>30</v>
      </c>
      <c r="L55" s="7" t="s">
        <v>43</v>
      </c>
      <c r="M55" s="7" t="s">
        <v>16</v>
      </c>
      <c r="N55" s="3">
        <f>Table1[[#This Row],[Quantity]]*Table1[[#This Row],[Unit_Price_INR]]</f>
        <v>24000</v>
      </c>
      <c r="O55" s="3">
        <f>Table1[[#This Row],[Grow Sales]]*Table1[[#This Row],[Discount_Rate]]</f>
        <v>1440</v>
      </c>
      <c r="P55" s="3">
        <f>Table1[[#This Row],[Grow Sales]]-Table1[[#This Row],[Discount Amount]]</f>
        <v>22560</v>
      </c>
      <c r="Q55" s="3" t="str">
        <f>TEXT(Table1[[#This Row],[Date]],"MMM-ddd-yyyy")</f>
        <v>Apr-Sat-2026</v>
      </c>
      <c r="R55" s="3" t="str">
        <f>IF(OR(Table1[[#This Row],[Status]]="Pending",Table1[[#This Row],[Status]]="Refunded"),"Review","OK")</f>
        <v>Review</v>
      </c>
      <c r="S55" s="3" t="str">
        <f>IF(Table1[[#This Row],[Net Sales]]&gt;=25000,"High",IF(Table1[[#This Row],[Net Sales]]&gt;=10000,"Medium","Low"))</f>
        <v>Medium</v>
      </c>
      <c r="T55" s="3" t="str">
        <f>IF(AND(Table1[[#This Row],[Quantity]]&gt;=5,Table1[[#This Row],[Discount_Rate]]&gt;=10%),"Review","OK")</f>
        <v>OK</v>
      </c>
      <c r="U55" s="3" t="str">
        <f>IF(OR(Table1[[#This Row],[Payment_Method]]="Cash",Table1[[#This Row],[Payment_Method]]="UPI"),"YES","NO")</f>
        <v>NO</v>
      </c>
      <c r="V55" s="3">
        <f>IFERROR(Table1[[#This Row],[Net Sales]]/Table1[[#This Row],[Quantity]],"check data")</f>
        <v>2256</v>
      </c>
      <c r="W55" s="3" t="str">
        <f>PROPER(TRIM(Table1[[#This Row],[Customer_Name]]))</f>
        <v>Beacon Traders</v>
      </c>
      <c r="X55" s="3" t="str">
        <f>UPPER(TRIM(Table1[[#This Row],[Region]]))</f>
        <v>SOUTH</v>
      </c>
      <c r="Y55" s="3" t="str">
        <f>TEXT(Table1[[#This Row],[Date]],"MMMM-yyyy")</f>
        <v>April-2026</v>
      </c>
      <c r="Z55" s="3" t="str">
        <f>MID(Table1[[#This Row],[Transaction_ID]],4,6)</f>
        <v>1054</v>
      </c>
      <c r="AA55" s="3" t="str">
        <f>Table1[[#This Row],[Region]]&amp;"-"&amp;Table1[[#This Row],[Category]]</f>
        <v>South-Electronics</v>
      </c>
    </row>
    <row r="56" spans="1:27">
      <c r="A56" s="3" t="s">
        <v>17</v>
      </c>
      <c r="B56" s="4">
        <v>46027</v>
      </c>
      <c r="C56" s="3" t="s">
        <v>18</v>
      </c>
      <c r="D56" s="3" t="s">
        <v>2</v>
      </c>
      <c r="E56" s="3" t="s">
        <v>19</v>
      </c>
      <c r="F56" s="3" t="s">
        <v>20</v>
      </c>
      <c r="G56" s="3" t="s">
        <v>21</v>
      </c>
      <c r="H56" s="3">
        <v>10</v>
      </c>
      <c r="I56" s="5">
        <v>1250</v>
      </c>
      <c r="J56" s="6">
        <v>0</v>
      </c>
      <c r="K56" s="3" t="s">
        <v>22</v>
      </c>
      <c r="L56" s="3" t="s">
        <v>7</v>
      </c>
      <c r="M56" s="3" t="s">
        <v>23</v>
      </c>
      <c r="N56" s="3">
        <f>Table1[[#This Row],[Quantity]]*Table1[[#This Row],[Unit_Price_INR]]</f>
        <v>12500</v>
      </c>
      <c r="O56" s="3">
        <f>Table1[[#This Row],[Grow Sales]]*Table1[[#This Row],[Discount_Rate]]</f>
        <v>0</v>
      </c>
      <c r="P56" s="3">
        <f>Table1[[#This Row],[Grow Sales]]-Table1[[#This Row],[Discount Amount]]</f>
        <v>12500</v>
      </c>
      <c r="Q56" s="3" t="str">
        <f>TEXT(Table1[[#This Row],[Date]],"MMM-ddd-yyyy")</f>
        <v>Jan-Mon-2026</v>
      </c>
      <c r="R56" s="3" t="str">
        <f>IF(OR(Table1[[#This Row],[Status]]="Pending",Table1[[#This Row],[Status]]="Refunded"),"Review","OK")</f>
        <v>OK</v>
      </c>
      <c r="S56" s="3" t="str">
        <f>IF(Table1[[#This Row],[Net Sales]]&gt;=25000,"High",IF(Table1[[#This Row],[Net Sales]]&gt;=10000,"Medium","Low"))</f>
        <v>Medium</v>
      </c>
      <c r="T56" s="3" t="str">
        <f>IF(AND(Table1[[#This Row],[Quantity]]&gt;=5,Table1[[#This Row],[Discount_Rate]]&gt;=10%),"Review","OK")</f>
        <v>OK</v>
      </c>
      <c r="U56" s="3" t="str">
        <f>IF(OR(Table1[[#This Row],[Payment_Method]]="Cash",Table1[[#This Row],[Payment_Method]]="UPI"),"YES","NO")</f>
        <v>YES</v>
      </c>
      <c r="V56" s="3">
        <f>IFERROR(Table1[[#This Row],[Net Sales]]/Table1[[#This Row],[Quantity]],"check data")</f>
        <v>1250</v>
      </c>
      <c r="W56" s="3" t="str">
        <f>PROPER(TRIM(Table1[[#This Row],[Customer_Name]]))</f>
        <v>City Bazaar</v>
      </c>
      <c r="X56" s="3" t="str">
        <f>UPPER(TRIM(Table1[[#This Row],[Region]]))</f>
        <v>WEST</v>
      </c>
      <c r="Y56" s="3" t="str">
        <f>TEXT(Table1[[#This Row],[Date]],"MMMM-yyyy")</f>
        <v>January-2026</v>
      </c>
      <c r="Z56" s="3" t="str">
        <f>MID(Table1[[#This Row],[Transaction_ID]],4,6)</f>
        <v>1003</v>
      </c>
      <c r="AA56" s="3" t="str">
        <f>Table1[[#This Row],[Region]]&amp;"-"&amp;Table1[[#This Row],[Category]]</f>
        <v>West-Grocery</v>
      </c>
    </row>
    <row r="57" spans="1:27">
      <c r="A57" s="7" t="s">
        <v>112</v>
      </c>
      <c r="B57" s="8">
        <v>46075</v>
      </c>
      <c r="C57" s="7" t="s">
        <v>10</v>
      </c>
      <c r="D57" s="7" t="s">
        <v>26</v>
      </c>
      <c r="E57" s="7" t="s">
        <v>113</v>
      </c>
      <c r="F57" s="7" t="s">
        <v>34</v>
      </c>
      <c r="G57" s="7" t="s">
        <v>114</v>
      </c>
      <c r="H57" s="7">
        <v>5</v>
      </c>
      <c r="I57" s="9">
        <v>2800</v>
      </c>
      <c r="J57" s="10">
        <v>0.12</v>
      </c>
      <c r="K57" s="7" t="s">
        <v>30</v>
      </c>
      <c r="L57" s="7" t="s">
        <v>7</v>
      </c>
      <c r="M57" s="7" t="s">
        <v>16</v>
      </c>
      <c r="N57" s="3">
        <f>Table1[[#This Row],[Quantity]]*Table1[[#This Row],[Unit_Price_INR]]</f>
        <v>14000</v>
      </c>
      <c r="O57" s="3">
        <f>Table1[[#This Row],[Grow Sales]]*Table1[[#This Row],[Discount_Rate]]</f>
        <v>1680</v>
      </c>
      <c r="P57" s="3">
        <f>Table1[[#This Row],[Grow Sales]]-Table1[[#This Row],[Discount Amount]]</f>
        <v>12320</v>
      </c>
      <c r="Q57" s="3" t="str">
        <f>TEXT(Table1[[#This Row],[Date]],"MMM-ddd-yyyy")</f>
        <v>Feb-Sun-2026</v>
      </c>
      <c r="R57" s="3" t="str">
        <f>IF(OR(Table1[[#This Row],[Status]]="Pending",Table1[[#This Row],[Status]]="Refunded"),"Review","OK")</f>
        <v>OK</v>
      </c>
      <c r="S57" s="3" t="str">
        <f>IF(Table1[[#This Row],[Net Sales]]&gt;=25000,"High",IF(Table1[[#This Row],[Net Sales]]&gt;=10000,"Medium","Low"))</f>
        <v>Medium</v>
      </c>
      <c r="T57" s="3" t="str">
        <f>IF(AND(Table1[[#This Row],[Quantity]]&gt;=5,Table1[[#This Row],[Discount_Rate]]&gt;=10%),"Review","OK")</f>
        <v>Review</v>
      </c>
      <c r="U57" s="3" t="str">
        <f>IF(OR(Table1[[#This Row],[Payment_Method]]="Cash",Table1[[#This Row],[Payment_Method]]="UPI"),"YES","NO")</f>
        <v>NO</v>
      </c>
      <c r="V57" s="3">
        <f>IFERROR(Table1[[#This Row],[Net Sales]]/Table1[[#This Row],[Quantity]],"check data")</f>
        <v>2464</v>
      </c>
      <c r="W57" s="3" t="str">
        <f>PROPER(TRIM(Table1[[#This Row],[Customer_Name]]))</f>
        <v>Dawn Distributors</v>
      </c>
      <c r="X57" s="3" t="str">
        <f>UPPER(TRIM(Table1[[#This Row],[Region]]))</f>
        <v>SOUTH</v>
      </c>
      <c r="Y57" s="3" t="str">
        <f>TEXT(Table1[[#This Row],[Date]],"MMMM-yyyy")</f>
        <v>February-2026</v>
      </c>
      <c r="Z57" s="3" t="str">
        <f>MID(Table1[[#This Row],[Transaction_ID]],4,6)</f>
        <v>1030</v>
      </c>
      <c r="AA57" s="3" t="str">
        <f>Table1[[#This Row],[Region]]&amp;"-"&amp;Table1[[#This Row],[Category]]</f>
        <v>South-Fashion</v>
      </c>
    </row>
    <row r="58" spans="1:27">
      <c r="A58" s="3" t="s">
        <v>187</v>
      </c>
      <c r="B58" s="4">
        <v>46132</v>
      </c>
      <c r="C58" s="3" t="s">
        <v>18</v>
      </c>
      <c r="D58" s="3" t="s">
        <v>11</v>
      </c>
      <c r="E58" s="3" t="s">
        <v>188</v>
      </c>
      <c r="F58" s="3" t="s">
        <v>28</v>
      </c>
      <c r="G58" s="3" t="s">
        <v>189</v>
      </c>
      <c r="H58" s="3">
        <v>7</v>
      </c>
      <c r="I58" s="5">
        <v>1850</v>
      </c>
      <c r="J58" s="6">
        <v>0.05</v>
      </c>
      <c r="K58" s="3" t="s">
        <v>15</v>
      </c>
      <c r="L58" s="3" t="s">
        <v>7</v>
      </c>
      <c r="M58" s="3" t="s">
        <v>23</v>
      </c>
      <c r="N58" s="3">
        <f>Table1[[#This Row],[Quantity]]*Table1[[#This Row],[Unit_Price_INR]]</f>
        <v>12950</v>
      </c>
      <c r="O58" s="3">
        <f>Table1[[#This Row],[Grow Sales]]*Table1[[#This Row],[Discount_Rate]]</f>
        <v>647.5</v>
      </c>
      <c r="P58" s="3">
        <f>Table1[[#This Row],[Grow Sales]]-Table1[[#This Row],[Discount Amount]]</f>
        <v>12302.5</v>
      </c>
      <c r="Q58" s="3" t="str">
        <f>TEXT(Table1[[#This Row],[Date]],"MMM-ddd-yyyy")</f>
        <v>Apr-Mon-2026</v>
      </c>
      <c r="R58" s="3" t="str">
        <f>IF(OR(Table1[[#This Row],[Status]]="Pending",Table1[[#This Row],[Status]]="Refunded"),"Review","OK")</f>
        <v>OK</v>
      </c>
      <c r="S58" s="3" t="str">
        <f>IF(Table1[[#This Row],[Net Sales]]&gt;=25000,"High",IF(Table1[[#This Row],[Net Sales]]&gt;=10000,"Medium","Low"))</f>
        <v>Medium</v>
      </c>
      <c r="T58" s="3" t="str">
        <f>IF(AND(Table1[[#This Row],[Quantity]]&gt;=5,Table1[[#This Row],[Discount_Rate]]&gt;=10%),"Review","OK")</f>
        <v>OK</v>
      </c>
      <c r="U58" s="3" t="str">
        <f>IF(OR(Table1[[#This Row],[Payment_Method]]="Cash",Table1[[#This Row],[Payment_Method]]="UPI"),"YES","NO")</f>
        <v>NO</v>
      </c>
      <c r="V58" s="3">
        <f>IFERROR(Table1[[#This Row],[Net Sales]]/Table1[[#This Row],[Quantity]],"check data")</f>
        <v>1757.5</v>
      </c>
      <c r="W58" s="3" t="str">
        <f>PROPER(TRIM(Table1[[#This Row],[Customer_Name]]))</f>
        <v>Cedar Store</v>
      </c>
      <c r="X58" s="3" t="str">
        <f>UPPER(TRIM(Table1[[#This Row],[Region]]))</f>
        <v>WEST</v>
      </c>
      <c r="Y58" s="3" t="str">
        <f>TEXT(Table1[[#This Row],[Date]],"MMMM-yyyy")</f>
        <v>April-2026</v>
      </c>
      <c r="Z58" s="3" t="str">
        <f>MID(Table1[[#This Row],[Transaction_ID]],4,6)</f>
        <v>1055</v>
      </c>
      <c r="AA58" s="3" t="str">
        <f>Table1[[#This Row],[Region]]&amp;"-"&amp;Table1[[#This Row],[Category]]</f>
        <v>West-Office</v>
      </c>
    </row>
    <row r="59" spans="1:27" hidden="1">
      <c r="A59" s="7" t="s">
        <v>196</v>
      </c>
      <c r="B59" s="8">
        <v>46138</v>
      </c>
      <c r="C59" s="7" t="s">
        <v>10</v>
      </c>
      <c r="D59" s="7" t="s">
        <v>11</v>
      </c>
      <c r="E59" s="7" t="s">
        <v>197</v>
      </c>
      <c r="F59" s="7" t="s">
        <v>13</v>
      </c>
      <c r="G59" s="7" t="s">
        <v>198</v>
      </c>
      <c r="H59" s="7">
        <v>6</v>
      </c>
      <c r="I59" s="9">
        <v>1750</v>
      </c>
      <c r="J59" s="10">
        <v>0.05</v>
      </c>
      <c r="K59" s="7" t="s">
        <v>15</v>
      </c>
      <c r="L59" s="7" t="s">
        <v>7</v>
      </c>
      <c r="M59" s="7" t="s">
        <v>39</v>
      </c>
      <c r="N59" s="3">
        <f>Table1[[#This Row],[Quantity]]*Table1[[#This Row],[Unit_Price_INR]]</f>
        <v>10500</v>
      </c>
      <c r="O59" s="3">
        <f>Table1[[#This Row],[Grow Sales]]*Table1[[#This Row],[Discount_Rate]]</f>
        <v>525</v>
      </c>
      <c r="P59" s="3">
        <f>Table1[[#This Row],[Grow Sales]]-Table1[[#This Row],[Discount Amount]]</f>
        <v>9975</v>
      </c>
      <c r="Q59" s="3" t="str">
        <f>TEXT(Table1[[#This Row],[Date]],"MMM-ddd-yyyy")</f>
        <v>Apr-Sun-2026</v>
      </c>
      <c r="R59" s="3" t="str">
        <f>IF(OR(Table1[[#This Row],[Status]]="Pending",Table1[[#This Row],[Status]]="Refunded"),"Review","OK")</f>
        <v>OK</v>
      </c>
      <c r="S59" s="3" t="str">
        <f>IF(Table1[[#This Row],[Net Sales]]&gt;=25000,"High",IF(Table1[[#This Row],[Net Sales]]&gt;=10000,"Medium","Low"))</f>
        <v>Low</v>
      </c>
      <c r="T59" s="3" t="str">
        <f>IF(AND(Table1[[#This Row],[Quantity]]&gt;=5,Table1[[#This Row],[Discount_Rate]]&gt;=10%),"Review","OK")</f>
        <v>OK</v>
      </c>
      <c r="U59" s="3" t="str">
        <f>IF(OR(Table1[[#This Row],[Payment_Method]]="Cash",Table1[[#This Row],[Payment_Method]]="UPI"),"YES","NO")</f>
        <v>NO</v>
      </c>
      <c r="V59" s="3">
        <f>IFERROR(Table1[[#This Row],[Net Sales]]/Table1[[#This Row],[Quantity]],"check data")</f>
        <v>1662.5</v>
      </c>
      <c r="W59" s="3" t="str">
        <f>PROPER(TRIM(Table1[[#This Row],[Customer_Name]]))</f>
        <v>Flint Retail</v>
      </c>
      <c r="X59" s="3" t="str">
        <f>UPPER(TRIM(Table1[[#This Row],[Region]]))</f>
        <v>SOUTH</v>
      </c>
      <c r="Y59" s="3" t="str">
        <f>TEXT(Table1[[#This Row],[Date]],"MMMM-yyyy")</f>
        <v>April-2026</v>
      </c>
      <c r="Z59" s="3" t="str">
        <f>MID(Table1[[#This Row],[Transaction_ID]],4,6)</f>
        <v>1058</v>
      </c>
      <c r="AA59" s="3" t="str">
        <f>Table1[[#This Row],[Region]]&amp;"-"&amp;Table1[[#This Row],[Category]]</f>
        <v>South-Home</v>
      </c>
    </row>
    <row r="60" spans="1:27">
      <c r="A60" s="7" t="s">
        <v>9</v>
      </c>
      <c r="B60" s="8">
        <v>46026</v>
      </c>
      <c r="C60" s="7" t="s">
        <v>10</v>
      </c>
      <c r="D60" s="7" t="s">
        <v>11</v>
      </c>
      <c r="E60" s="7" t="s">
        <v>12</v>
      </c>
      <c r="F60" s="7" t="s">
        <v>13</v>
      </c>
      <c r="G60" s="7" t="s">
        <v>14</v>
      </c>
      <c r="H60" s="7">
        <v>3</v>
      </c>
      <c r="I60" s="9">
        <v>4200</v>
      </c>
      <c r="J60" s="10">
        <v>0.05</v>
      </c>
      <c r="K60" s="7" t="s">
        <v>15</v>
      </c>
      <c r="L60" s="7" t="s">
        <v>7</v>
      </c>
      <c r="M60" s="7" t="s">
        <v>16</v>
      </c>
      <c r="N60" s="3">
        <f>Table1[[#This Row],[Quantity]]*Table1[[#This Row],[Unit_Price_INR]]</f>
        <v>12600</v>
      </c>
      <c r="O60" s="3">
        <f>Table1[[#This Row],[Grow Sales]]*Table1[[#This Row],[Discount_Rate]]</f>
        <v>630</v>
      </c>
      <c r="P60" s="3">
        <f>Table1[[#This Row],[Grow Sales]]-Table1[[#This Row],[Discount Amount]]</f>
        <v>11970</v>
      </c>
      <c r="Q60" s="3" t="str">
        <f>TEXT(Table1[[#This Row],[Date]],"MMM-ddd-yyyy")</f>
        <v>Jan-Sun-2026</v>
      </c>
      <c r="R60" s="3" t="str">
        <f>IF(OR(Table1[[#This Row],[Status]]="Pending",Table1[[#This Row],[Status]]="Refunded"),"Review","OK")</f>
        <v>OK</v>
      </c>
      <c r="S60" s="3" t="str">
        <f>IF(Table1[[#This Row],[Net Sales]]&gt;=25000,"High",IF(Table1[[#This Row],[Net Sales]]&gt;=10000,"Medium","Low"))</f>
        <v>Medium</v>
      </c>
      <c r="T60" s="3" t="str">
        <f>IF(AND(Table1[[#This Row],[Quantity]]&gt;=5,Table1[[#This Row],[Discount_Rate]]&gt;=10%),"Review","OK")</f>
        <v>OK</v>
      </c>
      <c r="U60" s="3" t="str">
        <f>IF(OR(Table1[[#This Row],[Payment_Method]]="Cash",Table1[[#This Row],[Payment_Method]]="UPI"),"YES","NO")</f>
        <v>NO</v>
      </c>
      <c r="V60" s="3">
        <f>IFERROR(Table1[[#This Row],[Net Sales]]/Table1[[#This Row],[Quantity]],"check data")</f>
        <v>3990</v>
      </c>
      <c r="W60" s="3" t="str">
        <f>PROPER(TRIM(Table1[[#This Row],[Customer_Name]]))</f>
        <v>Bright Mart</v>
      </c>
      <c r="X60" s="3" t="str">
        <f>UPPER(TRIM(Table1[[#This Row],[Region]]))</f>
        <v>SOUTH</v>
      </c>
      <c r="Y60" s="3" t="str">
        <f>TEXT(Table1[[#This Row],[Date]],"MMMM-yyyy")</f>
        <v>January-2026</v>
      </c>
      <c r="Z60" s="3" t="str">
        <f>MID(Table1[[#This Row],[Transaction_ID]],4,6)</f>
        <v>1002</v>
      </c>
      <c r="AA60" s="3" t="str">
        <f>Table1[[#This Row],[Region]]&amp;"-"&amp;Table1[[#This Row],[Category]]</f>
        <v>South-Home</v>
      </c>
    </row>
    <row r="61" spans="1:27">
      <c r="A61" s="7" t="s">
        <v>190</v>
      </c>
      <c r="B61" s="8">
        <v>46134</v>
      </c>
      <c r="C61" s="7" t="s">
        <v>25</v>
      </c>
      <c r="D61" s="7" t="s">
        <v>2</v>
      </c>
      <c r="E61" s="7" t="s">
        <v>191</v>
      </c>
      <c r="F61" s="7" t="s">
        <v>34</v>
      </c>
      <c r="G61" s="7" t="s">
        <v>192</v>
      </c>
      <c r="H61" s="7">
        <v>13</v>
      </c>
      <c r="I61" s="9">
        <v>950</v>
      </c>
      <c r="J61" s="10">
        <v>0.1</v>
      </c>
      <c r="K61" s="7" t="s">
        <v>6</v>
      </c>
      <c r="L61" s="7" t="s">
        <v>7</v>
      </c>
      <c r="M61" s="7" t="s">
        <v>31</v>
      </c>
      <c r="N61" s="3">
        <f>Table1[[#This Row],[Quantity]]*Table1[[#This Row],[Unit_Price_INR]]</f>
        <v>12350</v>
      </c>
      <c r="O61" s="3">
        <f>Table1[[#This Row],[Grow Sales]]*Table1[[#This Row],[Discount_Rate]]</f>
        <v>1235</v>
      </c>
      <c r="P61" s="3">
        <f>Table1[[#This Row],[Grow Sales]]-Table1[[#This Row],[Discount Amount]]</f>
        <v>11115</v>
      </c>
      <c r="Q61" s="3" t="str">
        <f>TEXT(Table1[[#This Row],[Date]],"MMM-ddd-yyyy")</f>
        <v>Apr-Wed-2026</v>
      </c>
      <c r="R61" s="3" t="str">
        <f>IF(OR(Table1[[#This Row],[Status]]="Pending",Table1[[#This Row],[Status]]="Refunded"),"Review","OK")</f>
        <v>OK</v>
      </c>
      <c r="S61" s="3" t="str">
        <f>IF(Table1[[#This Row],[Net Sales]]&gt;=25000,"High",IF(Table1[[#This Row],[Net Sales]]&gt;=10000,"Medium","Low"))</f>
        <v>Medium</v>
      </c>
      <c r="T61" s="3" t="str">
        <f>IF(AND(Table1[[#This Row],[Quantity]]&gt;=5,Table1[[#This Row],[Discount_Rate]]&gt;=10%),"Review","OK")</f>
        <v>Review</v>
      </c>
      <c r="U61" s="3" t="str">
        <f>IF(OR(Table1[[#This Row],[Payment_Method]]="Cash",Table1[[#This Row],[Payment_Method]]="UPI"),"YES","NO")</f>
        <v>YES</v>
      </c>
      <c r="V61" s="3">
        <f>IFERROR(Table1[[#This Row],[Net Sales]]/Table1[[#This Row],[Quantity]],"check data")</f>
        <v>855</v>
      </c>
      <c r="W61" s="3" t="str">
        <f>PROPER(TRIM(Table1[[#This Row],[Customer_Name]]))</f>
        <v>Driftwood Shop</v>
      </c>
      <c r="X61" s="3" t="str">
        <f>UPPER(TRIM(Table1[[#This Row],[Region]]))</f>
        <v>EAST</v>
      </c>
      <c r="Y61" s="3" t="str">
        <f>TEXT(Table1[[#This Row],[Date]],"MMMM-yyyy")</f>
        <v>April-2026</v>
      </c>
      <c r="Z61" s="3" t="str">
        <f>MID(Table1[[#This Row],[Transaction_ID]],4,6)</f>
        <v>1056</v>
      </c>
      <c r="AA61" s="3" t="str">
        <f>Table1[[#This Row],[Region]]&amp;"-"&amp;Table1[[#This Row],[Category]]</f>
        <v>East-Fashion</v>
      </c>
    </row>
    <row r="62" spans="1:27" hidden="1">
      <c r="A62" s="3" t="s">
        <v>205</v>
      </c>
      <c r="B62" s="4">
        <v>46144</v>
      </c>
      <c r="C62" s="3" t="s">
        <v>206</v>
      </c>
      <c r="D62" s="3" t="s">
        <v>11</v>
      </c>
      <c r="E62" s="3" t="s">
        <v>207</v>
      </c>
      <c r="F62" s="3" t="s">
        <v>4</v>
      </c>
      <c r="G62" s="3" t="s">
        <v>208</v>
      </c>
      <c r="H62" s="3">
        <v>6</v>
      </c>
      <c r="I62" s="5">
        <v>850</v>
      </c>
      <c r="J62" s="6">
        <v>0.05</v>
      </c>
      <c r="K62" s="3" t="s">
        <v>6</v>
      </c>
      <c r="L62" s="3" t="s">
        <v>7</v>
      </c>
      <c r="M62" s="3" t="s">
        <v>8</v>
      </c>
      <c r="N62" s="3">
        <f>Table1[[#This Row],[Quantity]]*Table1[[#This Row],[Unit_Price_INR]]</f>
        <v>5100</v>
      </c>
      <c r="O62" s="3">
        <f>Table1[[#This Row],[Grow Sales]]*Table1[[#This Row],[Discount_Rate]]</f>
        <v>255</v>
      </c>
      <c r="P62" s="3">
        <f>Table1[[#This Row],[Grow Sales]]-Table1[[#This Row],[Discount Amount]]</f>
        <v>4845</v>
      </c>
      <c r="Q62" s="3" t="str">
        <f>TEXT(Table1[[#This Row],[Date]],"MMM-ddd-yyyy")</f>
        <v>May-Sat-2026</v>
      </c>
      <c r="R62" s="3" t="str">
        <f>IF(OR(Table1[[#This Row],[Status]]="Pending",Table1[[#This Row],[Status]]="Refunded"),"Review","OK")</f>
        <v>OK</v>
      </c>
      <c r="S62" s="3" t="str">
        <f>IF(Table1[[#This Row],[Net Sales]]&gt;=25000,"High",IF(Table1[[#This Row],[Net Sales]]&gt;=10000,"Medium","Low"))</f>
        <v>Low</v>
      </c>
      <c r="T62" s="3" t="str">
        <f>IF(AND(Table1[[#This Row],[Quantity]]&gt;=5,Table1[[#This Row],[Discount_Rate]]&gt;=10%),"Review","OK")</f>
        <v>OK</v>
      </c>
      <c r="U62" s="3" t="str">
        <f>IF(OR(Table1[[#This Row],[Payment_Method]]="Cash",Table1[[#This Row],[Payment_Method]]="UPI"),"YES","NO")</f>
        <v>YES</v>
      </c>
      <c r="V62" s="3">
        <f>IFERROR(Table1[[#This Row],[Net Sales]]/Table1[[#This Row],[Quantity]],"check data")</f>
        <v>807.5</v>
      </c>
      <c r="W62" s="3" t="str">
        <f>PROPER(TRIM(Table1[[#This Row],[Customer_Name]]))</f>
        <v>Ivy Retail</v>
      </c>
      <c r="X62" s="3" t="str">
        <f>UPPER(TRIM(Table1[[#This Row],[Region]]))</f>
        <v>NORTH</v>
      </c>
      <c r="Y62" s="3" t="str">
        <f>TEXT(Table1[[#This Row],[Date]],"MMMM-yyyy")</f>
        <v>May-2026</v>
      </c>
      <c r="Z62" s="3" t="str">
        <f>MID(Table1[[#This Row],[Transaction_ID]],4,6)</f>
        <v>1061</v>
      </c>
      <c r="AA62" s="3" t="str">
        <f>Table1[[#This Row],[Region]]&amp;"-"&amp;Table1[[#This Row],[Category]]</f>
        <v xml:space="preserve"> north -Electronics</v>
      </c>
    </row>
    <row r="63" spans="1:27" hidden="1">
      <c r="A63" s="7" t="s">
        <v>209</v>
      </c>
      <c r="B63" s="8">
        <v>46145</v>
      </c>
      <c r="C63" s="7" t="s">
        <v>10</v>
      </c>
      <c r="D63" s="7" t="s">
        <v>2</v>
      </c>
      <c r="E63" s="7" t="s">
        <v>210</v>
      </c>
      <c r="F63" s="7" t="s">
        <v>13</v>
      </c>
      <c r="G63" s="7" t="s">
        <v>211</v>
      </c>
      <c r="H63" s="7">
        <v>4</v>
      </c>
      <c r="I63" s="9">
        <v>1650</v>
      </c>
      <c r="J63" s="10">
        <v>0.08</v>
      </c>
      <c r="K63" s="7" t="s">
        <v>15</v>
      </c>
      <c r="L63" s="7" t="s">
        <v>7</v>
      </c>
      <c r="M63" s="7" t="s">
        <v>39</v>
      </c>
      <c r="N63" s="3">
        <f>Table1[[#This Row],[Quantity]]*Table1[[#This Row],[Unit_Price_INR]]</f>
        <v>6600</v>
      </c>
      <c r="O63" s="3">
        <f>Table1[[#This Row],[Grow Sales]]*Table1[[#This Row],[Discount_Rate]]</f>
        <v>528</v>
      </c>
      <c r="P63" s="3">
        <f>Table1[[#This Row],[Grow Sales]]-Table1[[#This Row],[Discount Amount]]</f>
        <v>6072</v>
      </c>
      <c r="Q63" s="3" t="str">
        <f>TEXT(Table1[[#This Row],[Date]],"MMM-ddd-yyyy")</f>
        <v>May-Sun-2026</v>
      </c>
      <c r="R63" s="3" t="str">
        <f>IF(OR(Table1[[#This Row],[Status]]="Pending",Table1[[#This Row],[Status]]="Refunded"),"Review","OK")</f>
        <v>OK</v>
      </c>
      <c r="S63" s="3" t="str">
        <f>IF(Table1[[#This Row],[Net Sales]]&gt;=25000,"High",IF(Table1[[#This Row],[Net Sales]]&gt;=10000,"Medium","Low"))</f>
        <v>Low</v>
      </c>
      <c r="T63" s="3" t="str">
        <f>IF(AND(Table1[[#This Row],[Quantity]]&gt;=5,Table1[[#This Row],[Discount_Rate]]&gt;=10%),"Review","OK")</f>
        <v>OK</v>
      </c>
      <c r="U63" s="3" t="str">
        <f>IF(OR(Table1[[#This Row],[Payment_Method]]="Cash",Table1[[#This Row],[Payment_Method]]="UPI"),"YES","NO")</f>
        <v>NO</v>
      </c>
      <c r="V63" s="3">
        <f>IFERROR(Table1[[#This Row],[Net Sales]]/Table1[[#This Row],[Quantity]],"check data")</f>
        <v>1518</v>
      </c>
      <c r="W63" s="3" t="str">
        <f>PROPER(TRIM(Table1[[#This Row],[Customer_Name]]))</f>
        <v>Jade Stores</v>
      </c>
      <c r="X63" s="3" t="str">
        <f>UPPER(TRIM(Table1[[#This Row],[Region]]))</f>
        <v>SOUTH</v>
      </c>
      <c r="Y63" s="3" t="str">
        <f>TEXT(Table1[[#This Row],[Date]],"MMMM-yyyy")</f>
        <v>May-2026</v>
      </c>
      <c r="Z63" s="3" t="str">
        <f>MID(Table1[[#This Row],[Transaction_ID]],4,6)</f>
        <v>1062</v>
      </c>
      <c r="AA63" s="3" t="str">
        <f>Table1[[#This Row],[Region]]&amp;"-"&amp;Table1[[#This Row],[Category]]</f>
        <v>South-Home</v>
      </c>
    </row>
    <row r="64" spans="1:27" hidden="1">
      <c r="A64" s="3" t="s">
        <v>212</v>
      </c>
      <c r="B64" s="4">
        <v>46147</v>
      </c>
      <c r="C64" s="3" t="s">
        <v>18</v>
      </c>
      <c r="D64" s="3" t="s">
        <v>26</v>
      </c>
      <c r="E64" s="3" t="s">
        <v>213</v>
      </c>
      <c r="F64" s="3" t="s">
        <v>28</v>
      </c>
      <c r="G64" s="3" t="s">
        <v>214</v>
      </c>
      <c r="H64" s="3">
        <v>7</v>
      </c>
      <c r="I64" s="5">
        <v>1250</v>
      </c>
      <c r="J64" s="6">
        <v>0.04</v>
      </c>
      <c r="K64" s="3" t="s">
        <v>30</v>
      </c>
      <c r="L64" s="3" t="s">
        <v>43</v>
      </c>
      <c r="M64" s="3" t="s">
        <v>23</v>
      </c>
      <c r="N64" s="3">
        <f>Table1[[#This Row],[Quantity]]*Table1[[#This Row],[Unit_Price_INR]]</f>
        <v>8750</v>
      </c>
      <c r="O64" s="3">
        <f>Table1[[#This Row],[Grow Sales]]*Table1[[#This Row],[Discount_Rate]]</f>
        <v>350</v>
      </c>
      <c r="P64" s="3">
        <f>Table1[[#This Row],[Grow Sales]]-Table1[[#This Row],[Discount Amount]]</f>
        <v>8400</v>
      </c>
      <c r="Q64" s="3" t="str">
        <f>TEXT(Table1[[#This Row],[Date]],"MMM-ddd-yyyy")</f>
        <v>May-Tue-2026</v>
      </c>
      <c r="R64" s="3" t="str">
        <f>IF(OR(Table1[[#This Row],[Status]]="Pending",Table1[[#This Row],[Status]]="Refunded"),"Review","OK")</f>
        <v>Review</v>
      </c>
      <c r="S64" s="3" t="str">
        <f>IF(Table1[[#This Row],[Net Sales]]&gt;=25000,"High",IF(Table1[[#This Row],[Net Sales]]&gt;=10000,"Medium","Low"))</f>
        <v>Low</v>
      </c>
      <c r="T64" s="3" t="str">
        <f>IF(AND(Table1[[#This Row],[Quantity]]&gt;=5,Table1[[#This Row],[Discount_Rate]]&gt;=10%),"Review","OK")</f>
        <v>OK</v>
      </c>
      <c r="U64" s="3" t="str">
        <f>IF(OR(Table1[[#This Row],[Payment_Method]]="Cash",Table1[[#This Row],[Payment_Method]]="UPI"),"YES","NO")</f>
        <v>NO</v>
      </c>
      <c r="V64" s="3">
        <f>IFERROR(Table1[[#This Row],[Net Sales]]/Table1[[#This Row],[Quantity]],"check data")</f>
        <v>1200</v>
      </c>
      <c r="W64" s="3" t="str">
        <f>PROPER(TRIM(Table1[[#This Row],[Customer_Name]]))</f>
        <v>Keystone Traders</v>
      </c>
      <c r="X64" s="3" t="str">
        <f>UPPER(TRIM(Table1[[#This Row],[Region]]))</f>
        <v>WEST</v>
      </c>
      <c r="Y64" s="3" t="str">
        <f>TEXT(Table1[[#This Row],[Date]],"MMMM-yyyy")</f>
        <v>May-2026</v>
      </c>
      <c r="Z64" s="3" t="str">
        <f>MID(Table1[[#This Row],[Transaction_ID]],4,6)</f>
        <v>1063</v>
      </c>
      <c r="AA64" s="3" t="str">
        <f>Table1[[#This Row],[Region]]&amp;"-"&amp;Table1[[#This Row],[Category]]</f>
        <v>West-Office</v>
      </c>
    </row>
    <row r="65" spans="1:27" hidden="1">
      <c r="A65" s="3" t="s">
        <v>215</v>
      </c>
      <c r="B65" s="4">
        <v>46149</v>
      </c>
      <c r="C65" s="3" t="s">
        <v>25</v>
      </c>
      <c r="D65" s="3" t="s">
        <v>11</v>
      </c>
      <c r="E65" s="3" t="s">
        <v>216</v>
      </c>
      <c r="F65" s="3" t="s">
        <v>4</v>
      </c>
      <c r="G65" s="3" t="s">
        <v>217</v>
      </c>
      <c r="H65" s="3">
        <v>0</v>
      </c>
      <c r="I65" s="5">
        <v>450</v>
      </c>
      <c r="J65" s="6">
        <v>0</v>
      </c>
      <c r="K65" s="3" t="s">
        <v>22</v>
      </c>
      <c r="L65" s="3" t="s">
        <v>105</v>
      </c>
      <c r="M65" s="3" t="s">
        <v>31</v>
      </c>
      <c r="N65" s="3">
        <f>Table1[[#This Row],[Quantity]]*Table1[[#This Row],[Unit_Price_INR]]</f>
        <v>0</v>
      </c>
      <c r="O65" s="3">
        <f>Table1[[#This Row],[Grow Sales]]*Table1[[#This Row],[Discount_Rate]]</f>
        <v>0</v>
      </c>
      <c r="P65" s="3">
        <f>Table1[[#This Row],[Grow Sales]]-Table1[[#This Row],[Discount Amount]]</f>
        <v>0</v>
      </c>
      <c r="Q65" s="3" t="str">
        <f>TEXT(Table1[[#This Row],[Date]],"MMM-ddd-yyyy")</f>
        <v>May-Thu-2026</v>
      </c>
      <c r="R65" s="3" t="str">
        <f>IF(OR(Table1[[#This Row],[Status]]="Pending",Table1[[#This Row],[Status]]="Refunded"),"Review","OK")</f>
        <v>OK</v>
      </c>
      <c r="S65" s="3" t="str">
        <f>IF(Table1[[#This Row],[Net Sales]]&gt;=25000,"High",IF(Table1[[#This Row],[Net Sales]]&gt;=10000,"Medium","Low"))</f>
        <v>Low</v>
      </c>
      <c r="T65" s="3" t="str">
        <f>IF(AND(Table1[[#This Row],[Quantity]]&gt;=5,Table1[[#This Row],[Discount_Rate]]&gt;=10%),"Review","OK")</f>
        <v>OK</v>
      </c>
      <c r="U65" s="3" t="str">
        <f>IF(OR(Table1[[#This Row],[Payment_Method]]="Cash",Table1[[#This Row],[Payment_Method]]="UPI"),"YES","NO")</f>
        <v>YES</v>
      </c>
      <c r="V65" s="3" t="str">
        <f>IFERROR(Table1[[#This Row],[Net Sales]]/Table1[[#This Row],[Quantity]],"check data")</f>
        <v>check data</v>
      </c>
      <c r="W65" s="3" t="str">
        <f>PROPER(TRIM(Table1[[#This Row],[Customer_Name]]))</f>
        <v>Lumen Shop</v>
      </c>
      <c r="X65" s="3" t="str">
        <f>UPPER(TRIM(Table1[[#This Row],[Region]]))</f>
        <v>EAST</v>
      </c>
      <c r="Y65" s="3" t="str">
        <f>TEXT(Table1[[#This Row],[Date]],"MMMM-yyyy")</f>
        <v>May-2026</v>
      </c>
      <c r="Z65" s="3" t="str">
        <f>MID(Table1[[#This Row],[Transaction_ID]],4,6)</f>
        <v>1065</v>
      </c>
      <c r="AA65" s="3" t="str">
        <f>Table1[[#This Row],[Region]]&amp;"-"&amp;Table1[[#This Row],[Category]]</f>
        <v>East-Electronics</v>
      </c>
    </row>
    <row r="66" spans="1:27" hidden="1">
      <c r="A66" s="7" t="s">
        <v>218</v>
      </c>
      <c r="B66" s="8">
        <v>46151</v>
      </c>
      <c r="C66" s="7" t="s">
        <v>1</v>
      </c>
      <c r="D66" s="7" t="s">
        <v>2</v>
      </c>
      <c r="E66" s="7" t="s">
        <v>219</v>
      </c>
      <c r="F66" s="7" t="s">
        <v>20</v>
      </c>
      <c r="G66" s="7" t="s">
        <v>220</v>
      </c>
      <c r="H66" s="7">
        <v>5</v>
      </c>
      <c r="I66" s="9">
        <v>980</v>
      </c>
      <c r="J66" s="10">
        <v>0.05</v>
      </c>
      <c r="K66" s="7" t="s">
        <v>6</v>
      </c>
      <c r="L66" s="7" t="s">
        <v>7</v>
      </c>
      <c r="M66" s="7" t="s">
        <v>8</v>
      </c>
      <c r="N66" s="3">
        <f>Table1[[#This Row],[Quantity]]*Table1[[#This Row],[Unit_Price_INR]]</f>
        <v>4900</v>
      </c>
      <c r="O66" s="3">
        <f>Table1[[#This Row],[Grow Sales]]*Table1[[#This Row],[Discount_Rate]]</f>
        <v>245</v>
      </c>
      <c r="P66" s="3">
        <f>Table1[[#This Row],[Grow Sales]]-Table1[[#This Row],[Discount Amount]]</f>
        <v>4655</v>
      </c>
      <c r="Q66" s="3" t="str">
        <f>TEXT(Table1[[#This Row],[Date]],"MMM-ddd-yyyy")</f>
        <v>May-Sat-2026</v>
      </c>
      <c r="R66" s="3" t="str">
        <f>IF(OR(Table1[[#This Row],[Status]]="Pending",Table1[[#This Row],[Status]]="Refunded"),"Review","OK")</f>
        <v>OK</v>
      </c>
      <c r="S66" s="3" t="str">
        <f>IF(Table1[[#This Row],[Net Sales]]&gt;=25000,"High",IF(Table1[[#This Row],[Net Sales]]&gt;=10000,"Medium","Low"))</f>
        <v>Low</v>
      </c>
      <c r="T66" s="3" t="str">
        <f>IF(AND(Table1[[#This Row],[Quantity]]&gt;=5,Table1[[#This Row],[Discount_Rate]]&gt;=10%),"Review","OK")</f>
        <v>OK</v>
      </c>
      <c r="U66" s="3" t="str">
        <f>IF(OR(Table1[[#This Row],[Payment_Method]]="Cash",Table1[[#This Row],[Payment_Method]]="UPI"),"YES","NO")</f>
        <v>YES</v>
      </c>
      <c r="V66" s="3">
        <f>IFERROR(Table1[[#This Row],[Net Sales]]/Table1[[#This Row],[Quantity]],"check data")</f>
        <v>931</v>
      </c>
      <c r="W66" s="3" t="str">
        <f>PROPER(TRIM(Table1[[#This Row],[Customer_Name]]))</f>
        <v>Mango Market</v>
      </c>
      <c r="X66" s="3" t="str">
        <f>UPPER(TRIM(Table1[[#This Row],[Region]]))</f>
        <v>NORTH</v>
      </c>
      <c r="Y66" s="3" t="str">
        <f>TEXT(Table1[[#This Row],[Date]],"MMMM-yyyy")</f>
        <v>May-2026</v>
      </c>
      <c r="Z66" s="3" t="str">
        <f>MID(Table1[[#This Row],[Transaction_ID]],4,6)</f>
        <v>1066</v>
      </c>
      <c r="AA66" s="3" t="str">
        <f>Table1[[#This Row],[Region]]&amp;"-"&amp;Table1[[#This Row],[Category]]</f>
        <v>North-Grocery</v>
      </c>
    </row>
    <row r="67" spans="1:27" hidden="1">
      <c r="A67" s="3" t="s">
        <v>221</v>
      </c>
      <c r="B67" s="4">
        <v>46152</v>
      </c>
      <c r="C67" s="3" t="s">
        <v>10</v>
      </c>
      <c r="D67" s="3" t="s">
        <v>11</v>
      </c>
      <c r="E67" s="3" t="s">
        <v>222</v>
      </c>
      <c r="F67" s="3" t="s">
        <v>34</v>
      </c>
      <c r="G67" s="3" t="s">
        <v>223</v>
      </c>
      <c r="H67" s="3">
        <v>3</v>
      </c>
      <c r="I67" s="5">
        <v>700</v>
      </c>
      <c r="J67" s="6">
        <v>0.1</v>
      </c>
      <c r="K67" s="3" t="s">
        <v>15</v>
      </c>
      <c r="L67" s="3" t="s">
        <v>7</v>
      </c>
      <c r="M67" s="3" t="s">
        <v>39</v>
      </c>
      <c r="N67" s="3">
        <f>Table1[[#This Row],[Quantity]]*Table1[[#This Row],[Unit_Price_INR]]</f>
        <v>2100</v>
      </c>
      <c r="O67" s="3">
        <f>Table1[[#This Row],[Grow Sales]]*Table1[[#This Row],[Discount_Rate]]</f>
        <v>210</v>
      </c>
      <c r="P67" s="3">
        <f>Table1[[#This Row],[Grow Sales]]-Table1[[#This Row],[Discount Amount]]</f>
        <v>1890</v>
      </c>
      <c r="Q67" s="3" t="str">
        <f>TEXT(Table1[[#This Row],[Date]],"MMM-ddd-yyyy")</f>
        <v>May-Sun-2026</v>
      </c>
      <c r="R67" s="3" t="str">
        <f>IF(OR(Table1[[#This Row],[Status]]="Pending",Table1[[#This Row],[Status]]="Refunded"),"Review","OK")</f>
        <v>OK</v>
      </c>
      <c r="S67" s="3" t="str">
        <f>IF(Table1[[#This Row],[Net Sales]]&gt;=25000,"High",IF(Table1[[#This Row],[Net Sales]]&gt;=10000,"Medium","Low"))</f>
        <v>Low</v>
      </c>
      <c r="T67" s="3" t="str">
        <f>IF(AND(Table1[[#This Row],[Quantity]]&gt;=5,Table1[[#This Row],[Discount_Rate]]&gt;=10%),"Review","OK")</f>
        <v>OK</v>
      </c>
      <c r="U67" s="3" t="str">
        <f>IF(OR(Table1[[#This Row],[Payment_Method]]="Cash",Table1[[#This Row],[Payment_Method]]="UPI"),"YES","NO")</f>
        <v>NO</v>
      </c>
      <c r="V67" s="3">
        <f>IFERROR(Table1[[#This Row],[Net Sales]]/Table1[[#This Row],[Quantity]],"check data")</f>
        <v>630</v>
      </c>
      <c r="W67" s="3" t="str">
        <f>PROPER(TRIM(Table1[[#This Row],[Customer_Name]]))</f>
        <v>Nectar Store</v>
      </c>
      <c r="X67" s="3" t="str">
        <f>UPPER(TRIM(Table1[[#This Row],[Region]]))</f>
        <v>SOUTH</v>
      </c>
      <c r="Y67" s="3" t="str">
        <f>TEXT(Table1[[#This Row],[Date]],"MMMM-yyyy")</f>
        <v>May-2026</v>
      </c>
      <c r="Z67" s="3" t="str">
        <f>MID(Table1[[#This Row],[Transaction_ID]],4,6)</f>
        <v>1067</v>
      </c>
      <c r="AA67" s="3" t="str">
        <f>Table1[[#This Row],[Region]]&amp;"-"&amp;Table1[[#This Row],[Category]]</f>
        <v>South-Fashion</v>
      </c>
    </row>
    <row r="68" spans="1:27" hidden="1">
      <c r="A68" s="7" t="s">
        <v>224</v>
      </c>
      <c r="B68" s="8">
        <v>46154</v>
      </c>
      <c r="C68" s="7" t="s">
        <v>18</v>
      </c>
      <c r="D68" s="7" t="s">
        <v>2</v>
      </c>
      <c r="E68" s="7" t="s">
        <v>225</v>
      </c>
      <c r="F68" s="7" t="s">
        <v>13</v>
      </c>
      <c r="G68" s="7" t="s">
        <v>226</v>
      </c>
      <c r="H68" s="7">
        <v>2</v>
      </c>
      <c r="I68" s="9">
        <v>2300</v>
      </c>
      <c r="J68" s="10">
        <v>0.05</v>
      </c>
      <c r="K68" s="7" t="s">
        <v>6</v>
      </c>
      <c r="L68" s="7" t="s">
        <v>7</v>
      </c>
      <c r="M68" s="7" t="s">
        <v>23</v>
      </c>
      <c r="N68" s="3">
        <f>Table1[[#This Row],[Quantity]]*Table1[[#This Row],[Unit_Price_INR]]</f>
        <v>4600</v>
      </c>
      <c r="O68" s="3">
        <f>Table1[[#This Row],[Grow Sales]]*Table1[[#This Row],[Discount_Rate]]</f>
        <v>230</v>
      </c>
      <c r="P68" s="3">
        <f>Table1[[#This Row],[Grow Sales]]-Table1[[#This Row],[Discount Amount]]</f>
        <v>4370</v>
      </c>
      <c r="Q68" s="3" t="str">
        <f>TEXT(Table1[[#This Row],[Date]],"MMM-ddd-yyyy")</f>
        <v>May-Tue-2026</v>
      </c>
      <c r="R68" s="3" t="str">
        <f>IF(OR(Table1[[#This Row],[Status]]="Pending",Table1[[#This Row],[Status]]="Refunded"),"Review","OK")</f>
        <v>OK</v>
      </c>
      <c r="S68" s="3" t="str">
        <f>IF(Table1[[#This Row],[Net Sales]]&gt;=25000,"High",IF(Table1[[#This Row],[Net Sales]]&gt;=10000,"Medium","Low"))</f>
        <v>Low</v>
      </c>
      <c r="T68" s="3" t="str">
        <f>IF(AND(Table1[[#This Row],[Quantity]]&gt;=5,Table1[[#This Row],[Discount_Rate]]&gt;=10%),"Review","OK")</f>
        <v>OK</v>
      </c>
      <c r="U68" s="3" t="str">
        <f>IF(OR(Table1[[#This Row],[Payment_Method]]="Cash",Table1[[#This Row],[Payment_Method]]="UPI"),"YES","NO")</f>
        <v>YES</v>
      </c>
      <c r="V68" s="3">
        <f>IFERROR(Table1[[#This Row],[Net Sales]]/Table1[[#This Row],[Quantity]],"check data")</f>
        <v>2185</v>
      </c>
      <c r="W68" s="3" t="str">
        <f>PROPER(TRIM(Table1[[#This Row],[Customer_Name]]))</f>
        <v>Orchid Shop</v>
      </c>
      <c r="X68" s="3" t="str">
        <f>UPPER(TRIM(Table1[[#This Row],[Region]]))</f>
        <v>WEST</v>
      </c>
      <c r="Y68" s="3" t="str">
        <f>TEXT(Table1[[#This Row],[Date]],"MMMM-yyyy")</f>
        <v>May-2026</v>
      </c>
      <c r="Z68" s="3" t="str">
        <f>MID(Table1[[#This Row],[Transaction_ID]],4,6)</f>
        <v>1068</v>
      </c>
      <c r="AA68" s="3" t="str">
        <f>Table1[[#This Row],[Region]]&amp;"-"&amp;Table1[[#This Row],[Category]]</f>
        <v>West-Home</v>
      </c>
    </row>
    <row r="69" spans="1:27">
      <c r="A69" s="7" t="s">
        <v>81</v>
      </c>
      <c r="B69" s="8">
        <v>46056</v>
      </c>
      <c r="C69" s="7" t="s">
        <v>25</v>
      </c>
      <c r="D69" s="7" t="s">
        <v>2</v>
      </c>
      <c r="E69" s="7" t="s">
        <v>82</v>
      </c>
      <c r="F69" s="7" t="s">
        <v>34</v>
      </c>
      <c r="G69" s="7" t="s">
        <v>83</v>
      </c>
      <c r="H69" s="7">
        <v>18</v>
      </c>
      <c r="I69" s="9">
        <v>650</v>
      </c>
      <c r="J69" s="10">
        <v>0.1</v>
      </c>
      <c r="K69" s="7" t="s">
        <v>6</v>
      </c>
      <c r="L69" s="7" t="s">
        <v>7</v>
      </c>
      <c r="M69" s="7" t="s">
        <v>31</v>
      </c>
      <c r="N69" s="3">
        <f>Table1[[#This Row],[Quantity]]*Table1[[#This Row],[Unit_Price_INR]]</f>
        <v>11700</v>
      </c>
      <c r="O69" s="3">
        <f>Table1[[#This Row],[Grow Sales]]*Table1[[#This Row],[Discount_Rate]]</f>
        <v>1170</v>
      </c>
      <c r="P69" s="3">
        <f>Table1[[#This Row],[Grow Sales]]-Table1[[#This Row],[Discount Amount]]</f>
        <v>10530</v>
      </c>
      <c r="Q69" s="3" t="str">
        <f>TEXT(Table1[[#This Row],[Date]],"MMM-ddd-yyyy")</f>
        <v>Feb-Tue-2026</v>
      </c>
      <c r="R69" s="3" t="str">
        <f>IF(OR(Table1[[#This Row],[Status]]="Pending",Table1[[#This Row],[Status]]="Refunded"),"Review","OK")</f>
        <v>OK</v>
      </c>
      <c r="S69" s="3" t="str">
        <f>IF(Table1[[#This Row],[Net Sales]]&gt;=25000,"High",IF(Table1[[#This Row],[Net Sales]]&gt;=10000,"Medium","Low"))</f>
        <v>Medium</v>
      </c>
      <c r="T69" s="3" t="str">
        <f>IF(AND(Table1[[#This Row],[Quantity]]&gt;=5,Table1[[#This Row],[Discount_Rate]]&gt;=10%),"Review","OK")</f>
        <v>Review</v>
      </c>
      <c r="U69" s="3" t="str">
        <f>IF(OR(Table1[[#This Row],[Payment_Method]]="Cash",Table1[[#This Row],[Payment_Method]]="UPI"),"YES","NO")</f>
        <v>YES</v>
      </c>
      <c r="V69" s="3">
        <f>IFERROR(Table1[[#This Row],[Net Sales]]/Table1[[#This Row],[Quantity]],"check data")</f>
        <v>585</v>
      </c>
      <c r="W69" s="3" t="str">
        <f>PROPER(TRIM(Table1[[#This Row],[Customer_Name]]))</f>
        <v>Trinity Store</v>
      </c>
      <c r="X69" s="3" t="str">
        <f>UPPER(TRIM(Table1[[#This Row],[Region]]))</f>
        <v>EAST</v>
      </c>
      <c r="Y69" s="3" t="str">
        <f>TEXT(Table1[[#This Row],[Date]],"MMMM-yyyy")</f>
        <v>February-2026</v>
      </c>
      <c r="Z69" s="3" t="str">
        <f>MID(Table1[[#This Row],[Transaction_ID]],4,6)</f>
        <v>1020</v>
      </c>
      <c r="AA69" s="3" t="str">
        <f>Table1[[#This Row],[Region]]&amp;"-"&amp;Table1[[#This Row],[Category]]</f>
        <v>East-Fashion</v>
      </c>
    </row>
    <row r="70" spans="1:27">
      <c r="A70" s="3" t="s">
        <v>227</v>
      </c>
      <c r="B70" s="4">
        <v>46156</v>
      </c>
      <c r="C70" s="3" t="s">
        <v>25</v>
      </c>
      <c r="D70" s="3" t="s">
        <v>26</v>
      </c>
      <c r="E70" s="3" t="s">
        <v>228</v>
      </c>
      <c r="F70" s="3" t="s">
        <v>28</v>
      </c>
      <c r="G70" s="3" t="s">
        <v>229</v>
      </c>
      <c r="H70" s="3">
        <v>2</v>
      </c>
      <c r="I70" s="5">
        <v>5600</v>
      </c>
      <c r="J70" s="6">
        <v>7.0000000000000007E-2</v>
      </c>
      <c r="K70" s="3" t="s">
        <v>30</v>
      </c>
      <c r="L70" s="3" t="s">
        <v>7</v>
      </c>
      <c r="M70" s="3" t="s">
        <v>31</v>
      </c>
      <c r="N70" s="3">
        <f>Table1[[#This Row],[Quantity]]*Table1[[#This Row],[Unit_Price_INR]]</f>
        <v>11200</v>
      </c>
      <c r="O70" s="3">
        <f>Table1[[#This Row],[Grow Sales]]*Table1[[#This Row],[Discount_Rate]]</f>
        <v>784.00000000000011</v>
      </c>
      <c r="P70" s="3">
        <f>Table1[[#This Row],[Grow Sales]]-Table1[[#This Row],[Discount Amount]]</f>
        <v>10416</v>
      </c>
      <c r="Q70" s="3" t="str">
        <f>TEXT(Table1[[#This Row],[Date]],"MMM-ddd-yyyy")</f>
        <v>May-Thu-2026</v>
      </c>
      <c r="R70" s="3" t="str">
        <f>IF(OR(Table1[[#This Row],[Status]]="Pending",Table1[[#This Row],[Status]]="Refunded"),"Review","OK")</f>
        <v>OK</v>
      </c>
      <c r="S70" s="3" t="str">
        <f>IF(Table1[[#This Row],[Net Sales]]&gt;=25000,"High",IF(Table1[[#This Row],[Net Sales]]&gt;=10000,"Medium","Low"))</f>
        <v>Medium</v>
      </c>
      <c r="T70" s="3" t="str">
        <f>IF(AND(Table1[[#This Row],[Quantity]]&gt;=5,Table1[[#This Row],[Discount_Rate]]&gt;=10%),"Review","OK")</f>
        <v>OK</v>
      </c>
      <c r="U70" s="3" t="str">
        <f>IF(OR(Table1[[#This Row],[Payment_Method]]="Cash",Table1[[#This Row],[Payment_Method]]="UPI"),"YES","NO")</f>
        <v>NO</v>
      </c>
      <c r="V70" s="3">
        <f>IFERROR(Table1[[#This Row],[Net Sales]]/Table1[[#This Row],[Quantity]],"check data")</f>
        <v>5208</v>
      </c>
      <c r="W70" s="3" t="str">
        <f>PROPER(TRIM(Table1[[#This Row],[Customer_Name]]))</f>
        <v>Pine Traders</v>
      </c>
      <c r="X70" s="3" t="str">
        <f>UPPER(TRIM(Table1[[#This Row],[Region]]))</f>
        <v>EAST</v>
      </c>
      <c r="Y70" s="3" t="str">
        <f>TEXT(Table1[[#This Row],[Date]],"MMMM-yyyy")</f>
        <v>May-2026</v>
      </c>
      <c r="Z70" s="3" t="str">
        <f>MID(Table1[[#This Row],[Transaction_ID]],4,6)</f>
        <v>1069</v>
      </c>
      <c r="AA70" s="3" t="str">
        <f>Table1[[#This Row],[Region]]&amp;"-"&amp;Table1[[#This Row],[Category]]</f>
        <v>East-Office</v>
      </c>
    </row>
    <row r="71" spans="1:27" hidden="1">
      <c r="A71" s="3" t="s">
        <v>233</v>
      </c>
      <c r="B71" s="4">
        <v>46160</v>
      </c>
      <c r="C71" s="3" t="s">
        <v>10</v>
      </c>
      <c r="D71" s="3" t="s">
        <v>2</v>
      </c>
      <c r="E71" s="3" t="s">
        <v>234</v>
      </c>
      <c r="F71" s="3" t="s">
        <v>20</v>
      </c>
      <c r="G71" s="3" t="s">
        <v>235</v>
      </c>
      <c r="H71" s="3">
        <v>9</v>
      </c>
      <c r="I71" s="5">
        <v>220</v>
      </c>
      <c r="J71" s="6">
        <v>0</v>
      </c>
      <c r="K71" s="3" t="s">
        <v>22</v>
      </c>
      <c r="L71" s="3" t="s">
        <v>7</v>
      </c>
      <c r="M71" s="3" t="s">
        <v>39</v>
      </c>
      <c r="N71" s="3">
        <f>Table1[[#This Row],[Quantity]]*Table1[[#This Row],[Unit_Price_INR]]</f>
        <v>1980</v>
      </c>
      <c r="O71" s="3">
        <f>Table1[[#This Row],[Grow Sales]]*Table1[[#This Row],[Discount_Rate]]</f>
        <v>0</v>
      </c>
      <c r="P71" s="3">
        <f>Table1[[#This Row],[Grow Sales]]-Table1[[#This Row],[Discount Amount]]</f>
        <v>1980</v>
      </c>
      <c r="Q71" s="3" t="str">
        <f>TEXT(Table1[[#This Row],[Date]],"MMM-ddd-yyyy")</f>
        <v>May-Mon-2026</v>
      </c>
      <c r="R71" s="3" t="str">
        <f>IF(OR(Table1[[#This Row],[Status]]="Pending",Table1[[#This Row],[Status]]="Refunded"),"Review","OK")</f>
        <v>OK</v>
      </c>
      <c r="S71" s="3" t="str">
        <f>IF(Table1[[#This Row],[Net Sales]]&gt;=25000,"High",IF(Table1[[#This Row],[Net Sales]]&gt;=10000,"Medium","Low"))</f>
        <v>Low</v>
      </c>
      <c r="T71" s="3" t="str">
        <f>IF(AND(Table1[[#This Row],[Quantity]]&gt;=5,Table1[[#This Row],[Discount_Rate]]&gt;=10%),"Review","OK")</f>
        <v>OK</v>
      </c>
      <c r="U71" s="3" t="str">
        <f>IF(OR(Table1[[#This Row],[Payment_Method]]="Cash",Table1[[#This Row],[Payment_Method]]="UPI"),"YES","NO")</f>
        <v>YES</v>
      </c>
      <c r="V71" s="3">
        <f>IFERROR(Table1[[#This Row],[Net Sales]]/Table1[[#This Row],[Quantity]],"check data")</f>
        <v>220</v>
      </c>
      <c r="W71" s="3" t="str">
        <f>PROPER(TRIM(Table1[[#This Row],[Customer_Name]]))</f>
        <v>Rosewood Mart</v>
      </c>
      <c r="X71" s="3" t="str">
        <f>UPPER(TRIM(Table1[[#This Row],[Region]]))</f>
        <v>SOUTH</v>
      </c>
      <c r="Y71" s="3" t="str">
        <f>TEXT(Table1[[#This Row],[Date]],"MMMM-yyyy")</f>
        <v>May-2026</v>
      </c>
      <c r="Z71" s="3" t="str">
        <f>MID(Table1[[#This Row],[Transaction_ID]],4,6)</f>
        <v>1071</v>
      </c>
      <c r="AA71" s="3" t="str">
        <f>Table1[[#This Row],[Region]]&amp;"-"&amp;Table1[[#This Row],[Category]]</f>
        <v>South-Grocery</v>
      </c>
    </row>
    <row r="72" spans="1:27" hidden="1">
      <c r="A72" s="7" t="s">
        <v>236</v>
      </c>
      <c r="B72" s="8">
        <v>46162</v>
      </c>
      <c r="C72" s="7" t="s">
        <v>18</v>
      </c>
      <c r="D72" s="7" t="s">
        <v>11</v>
      </c>
      <c r="E72" s="7" t="s">
        <v>237</v>
      </c>
      <c r="F72" s="7" t="s">
        <v>34</v>
      </c>
      <c r="G72" s="7" t="s">
        <v>238</v>
      </c>
      <c r="H72" s="7">
        <v>5</v>
      </c>
      <c r="I72" s="9">
        <v>1150</v>
      </c>
      <c r="J72" s="10">
        <v>0.08</v>
      </c>
      <c r="K72" s="7" t="s">
        <v>15</v>
      </c>
      <c r="L72" s="7" t="s">
        <v>7</v>
      </c>
      <c r="M72" s="7" t="s">
        <v>23</v>
      </c>
      <c r="N72" s="3">
        <f>Table1[[#This Row],[Quantity]]*Table1[[#This Row],[Unit_Price_INR]]</f>
        <v>5750</v>
      </c>
      <c r="O72" s="3">
        <f>Table1[[#This Row],[Grow Sales]]*Table1[[#This Row],[Discount_Rate]]</f>
        <v>460</v>
      </c>
      <c r="P72" s="3">
        <f>Table1[[#This Row],[Grow Sales]]-Table1[[#This Row],[Discount Amount]]</f>
        <v>5290</v>
      </c>
      <c r="Q72" s="3" t="str">
        <f>TEXT(Table1[[#This Row],[Date]],"MMM-ddd-yyyy")</f>
        <v>May-Wed-2026</v>
      </c>
      <c r="R72" s="3" t="str">
        <f>IF(OR(Table1[[#This Row],[Status]]="Pending",Table1[[#This Row],[Status]]="Refunded"),"Review","OK")</f>
        <v>OK</v>
      </c>
      <c r="S72" s="3" t="str">
        <f>IF(Table1[[#This Row],[Net Sales]]&gt;=25000,"High",IF(Table1[[#This Row],[Net Sales]]&gt;=10000,"Medium","Low"))</f>
        <v>Low</v>
      </c>
      <c r="T72" s="3" t="str">
        <f>IF(AND(Table1[[#This Row],[Quantity]]&gt;=5,Table1[[#This Row],[Discount_Rate]]&gt;=10%),"Review","OK")</f>
        <v>OK</v>
      </c>
      <c r="U72" s="3" t="str">
        <f>IF(OR(Table1[[#This Row],[Payment_Method]]="Cash",Table1[[#This Row],[Payment_Method]]="UPI"),"YES","NO")</f>
        <v>NO</v>
      </c>
      <c r="V72" s="3">
        <f>IFERROR(Table1[[#This Row],[Net Sales]]/Table1[[#This Row],[Quantity]],"check data")</f>
        <v>1058</v>
      </c>
      <c r="W72" s="3" t="str">
        <f>PROPER(TRIM(Table1[[#This Row],[Customer_Name]]))</f>
        <v>Stonebridge Shop</v>
      </c>
      <c r="X72" s="3" t="str">
        <f>UPPER(TRIM(Table1[[#This Row],[Region]]))</f>
        <v>WEST</v>
      </c>
      <c r="Y72" s="3" t="str">
        <f>TEXT(Table1[[#This Row],[Date]],"MMMM-yyyy")</f>
        <v>May-2026</v>
      </c>
      <c r="Z72" s="3" t="str">
        <f>MID(Table1[[#This Row],[Transaction_ID]],4,6)</f>
        <v>1072</v>
      </c>
      <c r="AA72" s="3" t="str">
        <f>Table1[[#This Row],[Region]]&amp;"-"&amp;Table1[[#This Row],[Category]]</f>
        <v>West-Fashion</v>
      </c>
    </row>
    <row r="73" spans="1:27" hidden="1">
      <c r="A73" s="3" t="s">
        <v>239</v>
      </c>
      <c r="B73" s="4">
        <v>46164</v>
      </c>
      <c r="C73" s="3" t="s">
        <v>25</v>
      </c>
      <c r="D73" s="3" t="s">
        <v>2</v>
      </c>
      <c r="E73" s="3" t="s">
        <v>240</v>
      </c>
      <c r="F73" s="3" t="s">
        <v>13</v>
      </c>
      <c r="G73" s="3" t="s">
        <v>241</v>
      </c>
      <c r="H73" s="3">
        <v>6</v>
      </c>
      <c r="I73" s="5">
        <v>890</v>
      </c>
      <c r="J73" s="6">
        <v>0.05</v>
      </c>
      <c r="K73" s="3" t="s">
        <v>6</v>
      </c>
      <c r="L73" s="3" t="s">
        <v>7</v>
      </c>
      <c r="M73" s="3" t="s">
        <v>31</v>
      </c>
      <c r="N73" s="3">
        <f>Table1[[#This Row],[Quantity]]*Table1[[#This Row],[Unit_Price_INR]]</f>
        <v>5340</v>
      </c>
      <c r="O73" s="3">
        <f>Table1[[#This Row],[Grow Sales]]*Table1[[#This Row],[Discount_Rate]]</f>
        <v>267</v>
      </c>
      <c r="P73" s="3">
        <f>Table1[[#This Row],[Grow Sales]]-Table1[[#This Row],[Discount Amount]]</f>
        <v>5073</v>
      </c>
      <c r="Q73" s="3" t="str">
        <f>TEXT(Table1[[#This Row],[Date]],"MMM-ddd-yyyy")</f>
        <v>May-Fri-2026</v>
      </c>
      <c r="R73" s="3" t="str">
        <f>IF(OR(Table1[[#This Row],[Status]]="Pending",Table1[[#This Row],[Status]]="Refunded"),"Review","OK")</f>
        <v>OK</v>
      </c>
      <c r="S73" s="3" t="str">
        <f>IF(Table1[[#This Row],[Net Sales]]&gt;=25000,"High",IF(Table1[[#This Row],[Net Sales]]&gt;=10000,"Medium","Low"))</f>
        <v>Low</v>
      </c>
      <c r="T73" s="3" t="str">
        <f>IF(AND(Table1[[#This Row],[Quantity]]&gt;=5,Table1[[#This Row],[Discount_Rate]]&gt;=10%),"Review","OK")</f>
        <v>OK</v>
      </c>
      <c r="U73" s="3" t="str">
        <f>IF(OR(Table1[[#This Row],[Payment_Method]]="Cash",Table1[[#This Row],[Payment_Method]]="UPI"),"YES","NO")</f>
        <v>YES</v>
      </c>
      <c r="V73" s="3">
        <f>IFERROR(Table1[[#This Row],[Net Sales]]/Table1[[#This Row],[Quantity]],"check data")</f>
        <v>845.5</v>
      </c>
      <c r="W73" s="3" t="str">
        <f>PROPER(TRIM(Table1[[#This Row],[Customer_Name]]))</f>
        <v>Timber Store</v>
      </c>
      <c r="X73" s="3" t="str">
        <f>UPPER(TRIM(Table1[[#This Row],[Region]]))</f>
        <v>EAST</v>
      </c>
      <c r="Y73" s="3" t="str">
        <f>TEXT(Table1[[#This Row],[Date]],"MMMM-yyyy")</f>
        <v>May-2026</v>
      </c>
      <c r="Z73" s="3" t="str">
        <f>MID(Table1[[#This Row],[Transaction_ID]],4,6)</f>
        <v>1073</v>
      </c>
      <c r="AA73" s="3" t="str">
        <f>Table1[[#This Row],[Region]]&amp;"-"&amp;Table1[[#This Row],[Category]]</f>
        <v>East-Home</v>
      </c>
    </row>
    <row r="74" spans="1:27">
      <c r="A74" s="3" t="s">
        <v>32</v>
      </c>
      <c r="B74" s="4">
        <v>46029</v>
      </c>
      <c r="C74" s="3" t="s">
        <v>1</v>
      </c>
      <c r="D74" s="3" t="s">
        <v>11</v>
      </c>
      <c r="E74" s="3" t="s">
        <v>33</v>
      </c>
      <c r="F74" s="3" t="s">
        <v>34</v>
      </c>
      <c r="G74" s="3" t="s">
        <v>35</v>
      </c>
      <c r="H74" s="3">
        <v>5</v>
      </c>
      <c r="I74" s="5">
        <v>2400</v>
      </c>
      <c r="J74" s="6">
        <v>0.15</v>
      </c>
      <c r="K74" s="3" t="s">
        <v>15</v>
      </c>
      <c r="L74" s="3" t="s">
        <v>7</v>
      </c>
      <c r="M74" s="3" t="s">
        <v>8</v>
      </c>
      <c r="N74" s="3">
        <f>Table1[[#This Row],[Quantity]]*Table1[[#This Row],[Unit_Price_INR]]</f>
        <v>12000</v>
      </c>
      <c r="O74" s="3">
        <f>Table1[[#This Row],[Grow Sales]]*Table1[[#This Row],[Discount_Rate]]</f>
        <v>1800</v>
      </c>
      <c r="P74" s="3">
        <f>Table1[[#This Row],[Grow Sales]]-Table1[[#This Row],[Discount Amount]]</f>
        <v>10200</v>
      </c>
      <c r="Q74" s="3" t="str">
        <f>TEXT(Table1[[#This Row],[Date]],"MMM-ddd-yyyy")</f>
        <v>Jan-Wed-2026</v>
      </c>
      <c r="R74" s="3" t="str">
        <f>IF(OR(Table1[[#This Row],[Status]]="Pending",Table1[[#This Row],[Status]]="Refunded"),"Review","OK")</f>
        <v>OK</v>
      </c>
      <c r="S74" s="3" t="str">
        <f>IF(Table1[[#This Row],[Net Sales]]&gt;=25000,"High",IF(Table1[[#This Row],[Net Sales]]&gt;=10000,"Medium","Low"))</f>
        <v>Medium</v>
      </c>
      <c r="T74" s="3" t="str">
        <f>IF(AND(Table1[[#This Row],[Quantity]]&gt;=5,Table1[[#This Row],[Discount_Rate]]&gt;=10%),"Review","OK")</f>
        <v>Review</v>
      </c>
      <c r="U74" s="3" t="str">
        <f>IF(OR(Table1[[#This Row],[Payment_Method]]="Cash",Table1[[#This Row],[Payment_Method]]="UPI"),"YES","NO")</f>
        <v>NO</v>
      </c>
      <c r="V74" s="3">
        <f>IFERROR(Table1[[#This Row],[Net Sales]]/Table1[[#This Row],[Quantity]],"check data")</f>
        <v>2040</v>
      </c>
      <c r="W74" s="3" t="str">
        <f>PROPER(TRIM(Table1[[#This Row],[Customer_Name]]))</f>
        <v>Evergreen Shop</v>
      </c>
      <c r="X74" s="3" t="str">
        <f>UPPER(TRIM(Table1[[#This Row],[Region]]))</f>
        <v>NORTH</v>
      </c>
      <c r="Y74" s="3" t="str">
        <f>TEXT(Table1[[#This Row],[Date]],"MMMM-yyyy")</f>
        <v>January-2026</v>
      </c>
      <c r="Z74" s="3" t="str">
        <f>MID(Table1[[#This Row],[Transaction_ID]],4,6)</f>
        <v>1005</v>
      </c>
      <c r="AA74" s="3" t="str">
        <f>Table1[[#This Row],[Region]]&amp;"-"&amp;Table1[[#This Row],[Category]]</f>
        <v>North-Fashion</v>
      </c>
    </row>
    <row r="75" spans="1:27" hidden="1">
      <c r="A75" s="3" t="s">
        <v>245</v>
      </c>
      <c r="B75" s="4">
        <v>46168</v>
      </c>
      <c r="C75" s="3" t="s">
        <v>10</v>
      </c>
      <c r="D75" s="3" t="s">
        <v>11</v>
      </c>
      <c r="E75" s="3" t="s">
        <v>246</v>
      </c>
      <c r="F75" s="3" t="s">
        <v>28</v>
      </c>
      <c r="G75" s="3" t="s">
        <v>247</v>
      </c>
      <c r="H75" s="3">
        <v>8</v>
      </c>
      <c r="I75" s="5">
        <v>950</v>
      </c>
      <c r="J75" s="6">
        <v>0.05</v>
      </c>
      <c r="K75" s="3" t="s">
        <v>15</v>
      </c>
      <c r="L75" s="3" t="s">
        <v>7</v>
      </c>
      <c r="M75" s="3" t="s">
        <v>39</v>
      </c>
      <c r="N75" s="3">
        <f>Table1[[#This Row],[Quantity]]*Table1[[#This Row],[Unit_Price_INR]]</f>
        <v>7600</v>
      </c>
      <c r="O75" s="3">
        <f>Table1[[#This Row],[Grow Sales]]*Table1[[#This Row],[Discount_Rate]]</f>
        <v>380</v>
      </c>
      <c r="P75" s="3">
        <f>Table1[[#This Row],[Grow Sales]]-Table1[[#This Row],[Discount Amount]]</f>
        <v>7220</v>
      </c>
      <c r="Q75" s="3" t="str">
        <f>TEXT(Table1[[#This Row],[Date]],"MMM-ddd-yyyy")</f>
        <v>May-Tue-2026</v>
      </c>
      <c r="R75" s="3" t="str">
        <f>IF(OR(Table1[[#This Row],[Status]]="Pending",Table1[[#This Row],[Status]]="Refunded"),"Review","OK")</f>
        <v>OK</v>
      </c>
      <c r="S75" s="3" t="str">
        <f>IF(Table1[[#This Row],[Net Sales]]&gt;=25000,"High",IF(Table1[[#This Row],[Net Sales]]&gt;=10000,"Medium","Low"))</f>
        <v>Low</v>
      </c>
      <c r="T75" s="3" t="str">
        <f>IF(AND(Table1[[#This Row],[Quantity]]&gt;=5,Table1[[#This Row],[Discount_Rate]]&gt;=10%),"Review","OK")</f>
        <v>OK</v>
      </c>
      <c r="U75" s="3" t="str">
        <f>IF(OR(Table1[[#This Row],[Payment_Method]]="Cash",Table1[[#This Row],[Payment_Method]]="UPI"),"YES","NO")</f>
        <v>NO</v>
      </c>
      <c r="V75" s="3">
        <f>IFERROR(Table1[[#This Row],[Net Sales]]/Table1[[#This Row],[Quantity]],"check data")</f>
        <v>902.5</v>
      </c>
      <c r="W75" s="3" t="str">
        <f>PROPER(TRIM(Table1[[#This Row],[Customer_Name]]))</f>
        <v>Vale Shop</v>
      </c>
      <c r="X75" s="3" t="str">
        <f>UPPER(TRIM(Table1[[#This Row],[Region]]))</f>
        <v>SOUTH</v>
      </c>
      <c r="Y75" s="3" t="str">
        <f>TEXT(Table1[[#This Row],[Date]],"MMMM-yyyy")</f>
        <v>May-2026</v>
      </c>
      <c r="Z75" s="3" t="str">
        <f>MID(Table1[[#This Row],[Transaction_ID]],4,6)</f>
        <v>1075</v>
      </c>
      <c r="AA75" s="3" t="str">
        <f>Table1[[#This Row],[Region]]&amp;"-"&amp;Table1[[#This Row],[Category]]</f>
        <v>South-Office</v>
      </c>
    </row>
    <row r="76" spans="1:27" hidden="1">
      <c r="A76" s="7" t="s">
        <v>248</v>
      </c>
      <c r="B76" s="8">
        <v>46170</v>
      </c>
      <c r="C76" s="7" t="s">
        <v>18</v>
      </c>
      <c r="D76" s="7" t="s">
        <v>2</v>
      </c>
      <c r="E76" s="7" t="s">
        <v>249</v>
      </c>
      <c r="F76" s="7" t="s">
        <v>20</v>
      </c>
      <c r="G76" s="7" t="s">
        <v>250</v>
      </c>
      <c r="H76" s="7">
        <v>11</v>
      </c>
      <c r="I76" s="9">
        <v>310</v>
      </c>
      <c r="J76" s="10">
        <v>0.02</v>
      </c>
      <c r="K76" s="7" t="s">
        <v>6</v>
      </c>
      <c r="L76" s="7" t="s">
        <v>7</v>
      </c>
      <c r="M76" s="7" t="s">
        <v>23</v>
      </c>
      <c r="N76" s="3">
        <f>Table1[[#This Row],[Quantity]]*Table1[[#This Row],[Unit_Price_INR]]</f>
        <v>3410</v>
      </c>
      <c r="O76" s="3">
        <f>Table1[[#This Row],[Grow Sales]]*Table1[[#This Row],[Discount_Rate]]</f>
        <v>68.2</v>
      </c>
      <c r="P76" s="3">
        <f>Table1[[#This Row],[Grow Sales]]-Table1[[#This Row],[Discount Amount]]</f>
        <v>3341.8</v>
      </c>
      <c r="Q76" s="3" t="str">
        <f>TEXT(Table1[[#This Row],[Date]],"MMM-ddd-yyyy")</f>
        <v>May-Thu-2026</v>
      </c>
      <c r="R76" s="3" t="str">
        <f>IF(OR(Table1[[#This Row],[Status]]="Pending",Table1[[#This Row],[Status]]="Refunded"),"Review","OK")</f>
        <v>OK</v>
      </c>
      <c r="S76" s="3" t="str">
        <f>IF(Table1[[#This Row],[Net Sales]]&gt;=25000,"High",IF(Table1[[#This Row],[Net Sales]]&gt;=10000,"Medium","Low"))</f>
        <v>Low</v>
      </c>
      <c r="T76" s="3" t="str">
        <f>IF(AND(Table1[[#This Row],[Quantity]]&gt;=5,Table1[[#This Row],[Discount_Rate]]&gt;=10%),"Review","OK")</f>
        <v>OK</v>
      </c>
      <c r="U76" s="3" t="str">
        <f>IF(OR(Table1[[#This Row],[Payment_Method]]="Cash",Table1[[#This Row],[Payment_Method]]="UPI"),"YES","NO")</f>
        <v>YES</v>
      </c>
      <c r="V76" s="3">
        <f>IFERROR(Table1[[#This Row],[Net Sales]]/Table1[[#This Row],[Quantity]],"check data")</f>
        <v>303.8</v>
      </c>
      <c r="W76" s="3" t="str">
        <f>PROPER(TRIM(Table1[[#This Row],[Customer_Name]]))</f>
        <v>Willow Retail</v>
      </c>
      <c r="X76" s="3" t="str">
        <f>UPPER(TRIM(Table1[[#This Row],[Region]]))</f>
        <v>WEST</v>
      </c>
      <c r="Y76" s="3" t="str">
        <f>TEXT(Table1[[#This Row],[Date]],"MMMM-yyyy")</f>
        <v>May-2026</v>
      </c>
      <c r="Z76" s="3" t="str">
        <f>MID(Table1[[#This Row],[Transaction_ID]],4,6)</f>
        <v>1076</v>
      </c>
      <c r="AA76" s="3" t="str">
        <f>Table1[[#This Row],[Region]]&amp;"-"&amp;Table1[[#This Row],[Category]]</f>
        <v>West-Grocery</v>
      </c>
    </row>
    <row r="77" spans="1:27" hidden="1">
      <c r="A77" s="3" t="s">
        <v>251</v>
      </c>
      <c r="B77" s="4">
        <v>46172</v>
      </c>
      <c r="C77" s="3" t="s">
        <v>25</v>
      </c>
      <c r="D77" s="3" t="s">
        <v>26</v>
      </c>
      <c r="E77" s="3" t="s">
        <v>252</v>
      </c>
      <c r="F77" s="3" t="s">
        <v>13</v>
      </c>
      <c r="G77" s="3" t="s">
        <v>253</v>
      </c>
      <c r="H77" s="3">
        <v>2</v>
      </c>
      <c r="I77" s="5">
        <v>4800</v>
      </c>
      <c r="J77" s="6">
        <v>0.06</v>
      </c>
      <c r="K77" s="3" t="s">
        <v>30</v>
      </c>
      <c r="L77" s="3" t="s">
        <v>7</v>
      </c>
      <c r="M77" s="3" t="s">
        <v>31</v>
      </c>
      <c r="N77" s="3">
        <f>Table1[[#This Row],[Quantity]]*Table1[[#This Row],[Unit_Price_INR]]</f>
        <v>9600</v>
      </c>
      <c r="O77" s="3">
        <f>Table1[[#This Row],[Grow Sales]]*Table1[[#This Row],[Discount_Rate]]</f>
        <v>576</v>
      </c>
      <c r="P77" s="3">
        <f>Table1[[#This Row],[Grow Sales]]-Table1[[#This Row],[Discount Amount]]</f>
        <v>9024</v>
      </c>
      <c r="Q77" s="3" t="str">
        <f>TEXT(Table1[[#This Row],[Date]],"MMM-ddd-yyyy")</f>
        <v>May-Sat-2026</v>
      </c>
      <c r="R77" s="3" t="str">
        <f>IF(OR(Table1[[#This Row],[Status]]="Pending",Table1[[#This Row],[Status]]="Refunded"),"Review","OK")</f>
        <v>OK</v>
      </c>
      <c r="S77" s="3" t="str">
        <f>IF(Table1[[#This Row],[Net Sales]]&gt;=25000,"High",IF(Table1[[#This Row],[Net Sales]]&gt;=10000,"Medium","Low"))</f>
        <v>Low</v>
      </c>
      <c r="T77" s="3" t="str">
        <f>IF(AND(Table1[[#This Row],[Quantity]]&gt;=5,Table1[[#This Row],[Discount_Rate]]&gt;=10%),"Review","OK")</f>
        <v>OK</v>
      </c>
      <c r="U77" s="3" t="str">
        <f>IF(OR(Table1[[#This Row],[Payment_Method]]="Cash",Table1[[#This Row],[Payment_Method]]="UPI"),"YES","NO")</f>
        <v>NO</v>
      </c>
      <c r="V77" s="3">
        <f>IFERROR(Table1[[#This Row],[Net Sales]]/Table1[[#This Row],[Quantity]],"check data")</f>
        <v>4512</v>
      </c>
      <c r="W77" s="3" t="str">
        <f>PROPER(TRIM(Table1[[#This Row],[Customer_Name]]))</f>
        <v>Xylem Traders</v>
      </c>
      <c r="X77" s="3" t="str">
        <f>UPPER(TRIM(Table1[[#This Row],[Region]]))</f>
        <v>EAST</v>
      </c>
      <c r="Y77" s="3" t="str">
        <f>TEXT(Table1[[#This Row],[Date]],"MMMM-yyyy")</f>
        <v>May-2026</v>
      </c>
      <c r="Z77" s="3" t="str">
        <f>MID(Table1[[#This Row],[Transaction_ID]],4,6)</f>
        <v>1077</v>
      </c>
      <c r="AA77" s="3" t="str">
        <f>Table1[[#This Row],[Region]]&amp;"-"&amp;Table1[[#This Row],[Category]]</f>
        <v>East-Home</v>
      </c>
    </row>
    <row r="80" spans="1:27">
      <c r="G80" t="s">
        <v>291</v>
      </c>
      <c r="H80" t="s">
        <v>271</v>
      </c>
      <c r="I80">
        <f>AVERAGE(Table1[Unit_Price_INR])</f>
        <v>6655.7894736842109</v>
      </c>
      <c r="T80" t="s">
        <v>292</v>
      </c>
      <c r="U80" t="s">
        <v>279</v>
      </c>
      <c r="V80">
        <f>SUMIF(Table1[Region],"North",Table1[Net Sales])</f>
        <v>499870.9</v>
      </c>
    </row>
    <row r="82" spans="2:22">
      <c r="B82" s="15"/>
      <c r="G82" t="s">
        <v>291</v>
      </c>
      <c r="H82" t="s">
        <v>272</v>
      </c>
      <c r="I82">
        <f>SUM(Table1[Quantity])</f>
        <v>592</v>
      </c>
      <c r="T82" t="s">
        <v>293</v>
      </c>
      <c r="U82" t="s">
        <v>280</v>
      </c>
      <c r="V82">
        <f>SUMIFS(Table1[Net Sales],Table1[Region],"South",Table1[Status],"Completed")</f>
        <v>128509.4</v>
      </c>
    </row>
    <row r="84" spans="2:22">
      <c r="G84" t="s">
        <v>291</v>
      </c>
      <c r="H84" t="s">
        <v>273</v>
      </c>
      <c r="I84">
        <f>SUM(Table1[Net Sales])</f>
        <v>1594263.7999999998</v>
      </c>
      <c r="T84" t="s">
        <v>294</v>
      </c>
      <c r="U84" t="s">
        <v>281</v>
      </c>
      <c r="V84">
        <f>COUNTIF(Table1[Status],"Pending")</f>
        <v>5</v>
      </c>
    </row>
    <row r="86" spans="2:22">
      <c r="H86" t="s">
        <v>317</v>
      </c>
      <c r="I86">
        <f>SUM(P2:P74)/COUNTA(A2:A74)</f>
        <v>21570.931506849312</v>
      </c>
      <c r="T86" t="s">
        <v>295</v>
      </c>
      <c r="U86" t="s">
        <v>282</v>
      </c>
      <c r="V86">
        <f>COUNTIFS(Table1[Payment_Method],"UPI",Table1[Category],"Electronics")</f>
        <v>4</v>
      </c>
    </row>
    <row r="88" spans="2:22">
      <c r="H88" t="s">
        <v>318</v>
      </c>
      <c r="I88">
        <f>COUNTA(L2:L74)</f>
        <v>73</v>
      </c>
      <c r="T88" t="s">
        <v>296</v>
      </c>
      <c r="U88" t="s">
        <v>283</v>
      </c>
      <c r="V88">
        <f>AVERAGEIF(Table1[Category],"Home",Table1[Unit_Price_INR])</f>
        <v>9755.625</v>
      </c>
    </row>
  </sheetData>
  <conditionalFormatting sqref="A1:A77 A79:A1048576">
    <cfRule type="duplicateValues" dxfId="4" priority="5"/>
  </conditionalFormatting>
  <conditionalFormatting sqref="L2:L77">
    <cfRule type="containsText" dxfId="3" priority="1" operator="containsText" text="Pending">
      <formula>NOT(ISERROR(SEARCH("Pending",L2)))</formula>
    </cfRule>
    <cfRule type="containsText" dxfId="2" priority="2" operator="containsText" text="Pending">
      <formula>NOT(ISERROR(SEARCH("Pending",L2)))</formula>
    </cfRule>
  </conditionalFormatting>
  <conditionalFormatting sqref="P2">
    <cfRule type="cellIs" dxfId="1" priority="4" operator="greaterThan">
      <formula>25000</formula>
    </cfRule>
  </conditionalFormatting>
  <conditionalFormatting sqref="P2:P77">
    <cfRule type="cellIs" dxfId="0" priority="3" operator="greaterThan">
      <formula>25000</formula>
    </cfRule>
  </conditionalFormatting>
  <dataValidations count="1">
    <dataValidation type="list" allowBlank="1" showInputMessage="1" showErrorMessage="1" sqref="L2" xr:uid="{9B376390-011B-4BA9-A48F-678B5795A45F}">
      <formula1>"Completed,Pending,Refunded,Cancelled"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333D8-98AD-4DF6-83F8-DD4300A115FD}">
  <dimension ref="A1:C20"/>
  <sheetViews>
    <sheetView workbookViewId="0">
      <selection activeCell="C23" sqref="C23"/>
    </sheetView>
  </sheetViews>
  <sheetFormatPr defaultRowHeight="14.4"/>
  <cols>
    <col min="1" max="1" width="13.21875" customWidth="1"/>
  </cols>
  <sheetData>
    <row r="1" spans="1:2">
      <c r="A1" t="s">
        <v>321</v>
      </c>
    </row>
    <row r="2" spans="1:2">
      <c r="A2" t="s">
        <v>271</v>
      </c>
      <c r="B2">
        <f>Sheet1!I80</f>
        <v>6655.7894736842109</v>
      </c>
    </row>
    <row r="3" spans="1:2">
      <c r="A3" t="s">
        <v>272</v>
      </c>
      <c r="B3">
        <f>Sheet1!I82</f>
        <v>592</v>
      </c>
    </row>
    <row r="4" spans="1:2">
      <c r="A4" t="s">
        <v>273</v>
      </c>
      <c r="B4" s="16">
        <f>Sheet1!I84</f>
        <v>1594263.7999999998</v>
      </c>
    </row>
    <row r="6" spans="1:2">
      <c r="A6" t="s">
        <v>319</v>
      </c>
    </row>
    <row r="7" spans="1:2">
      <c r="A7" t="s">
        <v>292</v>
      </c>
      <c r="B7">
        <f>Sheet1!V80</f>
        <v>499870.9</v>
      </c>
    </row>
    <row r="8" spans="1:2">
      <c r="A8" t="s">
        <v>293</v>
      </c>
      <c r="B8">
        <f>Sheet1!V82</f>
        <v>128509.4</v>
      </c>
    </row>
    <row r="9" spans="1:2">
      <c r="A9" t="s">
        <v>294</v>
      </c>
      <c r="B9">
        <f>Sheet1!V84</f>
        <v>5</v>
      </c>
    </row>
    <row r="10" spans="1:2">
      <c r="A10" t="s">
        <v>295</v>
      </c>
      <c r="B10">
        <f>Sheet1!V86</f>
        <v>4</v>
      </c>
    </row>
    <row r="11" spans="1:2">
      <c r="A11" t="s">
        <v>296</v>
      </c>
      <c r="B11">
        <f>Sheet1!V88</f>
        <v>9755.625</v>
      </c>
    </row>
    <row r="15" spans="1:2">
      <c r="A15" t="s">
        <v>320</v>
      </c>
    </row>
    <row r="17" spans="1:3">
      <c r="A17" t="s">
        <v>297</v>
      </c>
      <c r="B17" t="s">
        <v>23</v>
      </c>
      <c r="C17" t="str">
        <f>VLOOKUP(B17,lookuptable!A2:B6,2,FALSE)</f>
        <v>Keerthi</v>
      </c>
    </row>
    <row r="18" spans="1:3">
      <c r="A18" t="s">
        <v>298</v>
      </c>
      <c r="B18" t="s">
        <v>17</v>
      </c>
      <c r="C18">
        <f>INDEX(Sheet1!I2:I77,MATCH(answers!B18,Sheet1!A2:A77,0))</f>
        <v>1250</v>
      </c>
    </row>
    <row r="19" spans="1:3">
      <c r="A19" t="s">
        <v>299</v>
      </c>
      <c r="B19">
        <f>MATCH("Smartphone",Sheet1!G2:G77,0)</f>
        <v>1</v>
      </c>
    </row>
    <row r="20" spans="1:3">
      <c r="A20" t="s">
        <v>300</v>
      </c>
      <c r="B20" t="s">
        <v>301</v>
      </c>
      <c r="C20" t="str">
        <f>_xlfn.XLOOKUP(B20,Sheet1!G2:G77,Sheet1!F2:F77)</f>
        <v>Fashion</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6FD3C-F769-43E5-9EE3-E99FBEFB2D3B}">
  <dimension ref="A1:B6"/>
  <sheetViews>
    <sheetView workbookViewId="0">
      <selection activeCell="D23" sqref="D23"/>
    </sheetView>
  </sheetViews>
  <sheetFormatPr defaultRowHeight="14.4"/>
  <cols>
    <col min="1" max="1" width="13.33203125" customWidth="1"/>
    <col min="2" max="2" width="26" customWidth="1"/>
  </cols>
  <sheetData>
    <row r="1" spans="1:2">
      <c r="A1" t="s">
        <v>284</v>
      </c>
      <c r="B1" t="s">
        <v>285</v>
      </c>
    </row>
    <row r="2" spans="1:2">
      <c r="A2" t="s">
        <v>8</v>
      </c>
      <c r="B2" t="s">
        <v>286</v>
      </c>
    </row>
    <row r="3" spans="1:2">
      <c r="A3" t="s">
        <v>23</v>
      </c>
      <c r="B3" t="s">
        <v>287</v>
      </c>
    </row>
    <row r="4" spans="1:2">
      <c r="A4" t="s">
        <v>16</v>
      </c>
      <c r="B4" t="s">
        <v>288</v>
      </c>
    </row>
    <row r="5" spans="1:2">
      <c r="A5" t="s">
        <v>31</v>
      </c>
      <c r="B5" t="s">
        <v>289</v>
      </c>
    </row>
    <row r="6" spans="1:2">
      <c r="A6" t="s">
        <v>39</v>
      </c>
      <c r="B6" t="s">
        <v>290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2CB91-9CAD-4686-8BD1-3178EEA526AA}">
  <dimension ref="A1:M78"/>
  <sheetViews>
    <sheetView workbookViewId="0">
      <selection activeCell="O15" sqref="O15"/>
    </sheetView>
  </sheetViews>
  <sheetFormatPr defaultRowHeight="14.4"/>
  <cols>
    <col min="1" max="1" width="10.77734375" bestFit="1" customWidth="1"/>
    <col min="2" max="2" width="11.88671875" bestFit="1" customWidth="1"/>
    <col min="3" max="3" width="9" bestFit="1" customWidth="1"/>
    <col min="4" max="4" width="13.5546875" customWidth="1"/>
    <col min="5" max="5" width="17.33203125" bestFit="1" customWidth="1"/>
    <col min="6" max="6" width="10.77734375" bestFit="1" customWidth="1"/>
    <col min="7" max="7" width="15.44140625" bestFit="1" customWidth="1"/>
    <col min="8" max="8" width="10.5546875" bestFit="1" customWidth="1"/>
    <col min="9" max="9" width="10.88671875" bestFit="1" customWidth="1"/>
    <col min="10" max="10" width="10.5546875" bestFit="1" customWidth="1"/>
    <col min="11" max="11" width="12.21875" bestFit="1" customWidth="1"/>
    <col min="12" max="12" width="11.21875" customWidth="1"/>
    <col min="13" max="13" width="12.33203125" customWidth="1"/>
  </cols>
  <sheetData>
    <row r="1" spans="1:13" ht="28.8">
      <c r="A1" s="17" t="s">
        <v>254</v>
      </c>
      <c r="B1" s="17" t="s">
        <v>255</v>
      </c>
      <c r="C1" s="17" t="s">
        <v>256</v>
      </c>
      <c r="D1" s="17" t="s">
        <v>257</v>
      </c>
      <c r="E1" s="17" t="s">
        <v>258</v>
      </c>
      <c r="F1" s="17" t="s">
        <v>259</v>
      </c>
      <c r="G1" s="17" t="s">
        <v>260</v>
      </c>
      <c r="H1" s="17" t="s">
        <v>261</v>
      </c>
      <c r="I1" s="17" t="s">
        <v>262</v>
      </c>
      <c r="J1" s="17" t="s">
        <v>263</v>
      </c>
      <c r="K1" s="17" t="s">
        <v>264</v>
      </c>
      <c r="L1" s="17" t="s">
        <v>265</v>
      </c>
      <c r="M1" s="17" t="s">
        <v>266</v>
      </c>
    </row>
    <row r="2" spans="1:13">
      <c r="A2" s="18" t="s">
        <v>0</v>
      </c>
      <c r="B2" s="19">
        <v>46025</v>
      </c>
      <c r="C2" s="18" t="s">
        <v>1</v>
      </c>
      <c r="D2" s="18" t="s">
        <v>2</v>
      </c>
      <c r="E2" s="18" t="s">
        <v>3</v>
      </c>
      <c r="F2" s="18" t="s">
        <v>4</v>
      </c>
      <c r="G2" s="18" t="s">
        <v>5</v>
      </c>
      <c r="H2" s="18">
        <v>2</v>
      </c>
      <c r="I2" s="20">
        <v>52000</v>
      </c>
      <c r="J2" s="21">
        <v>0.08</v>
      </c>
      <c r="K2" s="18" t="s">
        <v>6</v>
      </c>
      <c r="L2" s="18" t="s">
        <v>7</v>
      </c>
      <c r="M2" s="18" t="s">
        <v>8</v>
      </c>
    </row>
    <row r="3" spans="1:13">
      <c r="A3" s="22" t="s">
        <v>9</v>
      </c>
      <c r="B3" s="23">
        <v>46026</v>
      </c>
      <c r="C3" s="22" t="s">
        <v>10</v>
      </c>
      <c r="D3" s="22" t="s">
        <v>11</v>
      </c>
      <c r="E3" s="22" t="s">
        <v>12</v>
      </c>
      <c r="F3" s="22" t="s">
        <v>13</v>
      </c>
      <c r="G3" s="22" t="s">
        <v>14</v>
      </c>
      <c r="H3" s="22">
        <v>3</v>
      </c>
      <c r="I3" s="24">
        <v>4200</v>
      </c>
      <c r="J3" s="25">
        <v>0.05</v>
      </c>
      <c r="K3" s="22" t="s">
        <v>15</v>
      </c>
      <c r="L3" s="22" t="s">
        <v>7</v>
      </c>
      <c r="M3" s="22" t="s">
        <v>16</v>
      </c>
    </row>
    <row r="4" spans="1:13">
      <c r="A4" s="18" t="s">
        <v>17</v>
      </c>
      <c r="B4" s="19">
        <v>46027</v>
      </c>
      <c r="C4" s="18" t="s">
        <v>18</v>
      </c>
      <c r="D4" s="18" t="s">
        <v>2</v>
      </c>
      <c r="E4" s="18" t="s">
        <v>19</v>
      </c>
      <c r="F4" s="18" t="s">
        <v>20</v>
      </c>
      <c r="G4" s="18" t="s">
        <v>21</v>
      </c>
      <c r="H4" s="18">
        <v>10</v>
      </c>
      <c r="I4" s="20">
        <v>1250</v>
      </c>
      <c r="J4" s="21">
        <v>0</v>
      </c>
      <c r="K4" s="18" t="s">
        <v>22</v>
      </c>
      <c r="L4" s="18" t="s">
        <v>7</v>
      </c>
      <c r="M4" s="18" t="s">
        <v>23</v>
      </c>
    </row>
    <row r="5" spans="1:13">
      <c r="A5" s="22" t="s">
        <v>24</v>
      </c>
      <c r="B5" s="23">
        <v>46028</v>
      </c>
      <c r="C5" s="22" t="s">
        <v>25</v>
      </c>
      <c r="D5" s="22" t="s">
        <v>26</v>
      </c>
      <c r="E5" s="22" t="s">
        <v>27</v>
      </c>
      <c r="F5" s="22" t="s">
        <v>28</v>
      </c>
      <c r="G5" s="22" t="s">
        <v>29</v>
      </c>
      <c r="H5" s="22">
        <v>4</v>
      </c>
      <c r="I5" s="24">
        <v>18500</v>
      </c>
      <c r="J5" s="25">
        <v>0.1</v>
      </c>
      <c r="K5" s="22" t="s">
        <v>30</v>
      </c>
      <c r="L5" s="22" t="s">
        <v>7</v>
      </c>
      <c r="M5" s="22" t="s">
        <v>31</v>
      </c>
    </row>
    <row r="6" spans="1:13">
      <c r="A6" s="18" t="s">
        <v>32</v>
      </c>
      <c r="B6" s="19">
        <v>46029</v>
      </c>
      <c r="C6" s="18" t="s">
        <v>1</v>
      </c>
      <c r="D6" s="18" t="s">
        <v>11</v>
      </c>
      <c r="E6" s="18" t="s">
        <v>33</v>
      </c>
      <c r="F6" s="18" t="s">
        <v>34</v>
      </c>
      <c r="G6" s="18" t="s">
        <v>35</v>
      </c>
      <c r="H6" s="18">
        <v>5</v>
      </c>
      <c r="I6" s="20">
        <v>2400</v>
      </c>
      <c r="J6" s="21">
        <v>0.15</v>
      </c>
      <c r="K6" s="18" t="s">
        <v>15</v>
      </c>
      <c r="L6" s="18" t="s">
        <v>7</v>
      </c>
      <c r="M6" s="18" t="s">
        <v>8</v>
      </c>
    </row>
    <row r="7" spans="1:13">
      <c r="A7" s="22" t="s">
        <v>36</v>
      </c>
      <c r="B7" s="23">
        <v>46031</v>
      </c>
      <c r="C7" s="22" t="s">
        <v>10</v>
      </c>
      <c r="D7" s="22" t="s">
        <v>2</v>
      </c>
      <c r="E7" s="22" t="s">
        <v>37</v>
      </c>
      <c r="F7" s="22" t="s">
        <v>20</v>
      </c>
      <c r="G7" s="22" t="s">
        <v>38</v>
      </c>
      <c r="H7" s="22">
        <v>12</v>
      </c>
      <c r="I7" s="24">
        <v>185</v>
      </c>
      <c r="J7" s="25">
        <v>0.03</v>
      </c>
      <c r="K7" s="22" t="s">
        <v>6</v>
      </c>
      <c r="L7" s="22" t="s">
        <v>7</v>
      </c>
      <c r="M7" s="22" t="s">
        <v>39</v>
      </c>
    </row>
    <row r="8" spans="1:13">
      <c r="A8" s="18" t="s">
        <v>40</v>
      </c>
      <c r="B8" s="19">
        <v>46032</v>
      </c>
      <c r="C8" s="18" t="s">
        <v>18</v>
      </c>
      <c r="D8" s="18" t="s">
        <v>11</v>
      </c>
      <c r="E8" s="18" t="s">
        <v>41</v>
      </c>
      <c r="F8" s="18" t="s">
        <v>4</v>
      </c>
      <c r="G8" s="18" t="s">
        <v>42</v>
      </c>
      <c r="H8" s="18">
        <v>8</v>
      </c>
      <c r="I8" s="20">
        <v>1800</v>
      </c>
      <c r="J8" s="21">
        <v>0.12</v>
      </c>
      <c r="K8" s="18" t="s">
        <v>15</v>
      </c>
      <c r="L8" s="18" t="s">
        <v>43</v>
      </c>
      <c r="M8" s="18" t="s">
        <v>23</v>
      </c>
    </row>
    <row r="9" spans="1:13">
      <c r="A9" s="22" t="s">
        <v>44</v>
      </c>
      <c r="B9" s="23">
        <v>46033</v>
      </c>
      <c r="C9" s="22" t="s">
        <v>25</v>
      </c>
      <c r="D9" s="22" t="s">
        <v>2</v>
      </c>
      <c r="E9" s="22" t="s">
        <v>45</v>
      </c>
      <c r="F9" s="22" t="s">
        <v>28</v>
      </c>
      <c r="G9" s="22" t="s">
        <v>46</v>
      </c>
      <c r="H9" s="22">
        <v>3</v>
      </c>
      <c r="I9" s="24">
        <v>7800</v>
      </c>
      <c r="J9" s="25">
        <v>7.0000000000000007E-2</v>
      </c>
      <c r="K9" s="22" t="s">
        <v>30</v>
      </c>
      <c r="L9" s="22" t="s">
        <v>7</v>
      </c>
      <c r="M9" s="22" t="s">
        <v>31</v>
      </c>
    </row>
    <row r="10" spans="1:13">
      <c r="A10" s="18" t="s">
        <v>47</v>
      </c>
      <c r="B10" s="19">
        <v>46034</v>
      </c>
      <c r="C10" s="18" t="s">
        <v>1</v>
      </c>
      <c r="D10" s="18" t="s">
        <v>26</v>
      </c>
      <c r="E10" s="18" t="s">
        <v>48</v>
      </c>
      <c r="F10" s="18" t="s">
        <v>13</v>
      </c>
      <c r="G10" s="18" t="s">
        <v>49</v>
      </c>
      <c r="H10" s="18">
        <v>2</v>
      </c>
      <c r="I10" s="20">
        <v>14500</v>
      </c>
      <c r="J10" s="21">
        <v>0.05</v>
      </c>
      <c r="K10" s="18" t="s">
        <v>30</v>
      </c>
      <c r="L10" s="18" t="s">
        <v>7</v>
      </c>
      <c r="M10" s="18" t="s">
        <v>16</v>
      </c>
    </row>
    <row r="11" spans="1:13">
      <c r="A11" s="22" t="s">
        <v>50</v>
      </c>
      <c r="B11" s="23">
        <v>46036</v>
      </c>
      <c r="C11" s="22" t="s">
        <v>10</v>
      </c>
      <c r="D11" s="22" t="s">
        <v>11</v>
      </c>
      <c r="E11" s="22" t="s">
        <v>51</v>
      </c>
      <c r="F11" s="22" t="s">
        <v>34</v>
      </c>
      <c r="G11" s="22" t="s">
        <v>52</v>
      </c>
      <c r="H11" s="22">
        <v>6</v>
      </c>
      <c r="I11" s="24">
        <v>3200</v>
      </c>
      <c r="J11" s="25">
        <v>0.2</v>
      </c>
      <c r="K11" s="22" t="s">
        <v>6</v>
      </c>
      <c r="L11" s="22" t="s">
        <v>53</v>
      </c>
      <c r="M11" s="22" t="s">
        <v>39</v>
      </c>
    </row>
    <row r="12" spans="1:13">
      <c r="A12" s="18" t="s">
        <v>54</v>
      </c>
      <c r="B12" s="19">
        <v>46037</v>
      </c>
      <c r="C12" s="18" t="s">
        <v>18</v>
      </c>
      <c r="D12" s="18" t="s">
        <v>2</v>
      </c>
      <c r="E12" s="18" t="s">
        <v>55</v>
      </c>
      <c r="F12" s="18" t="s">
        <v>4</v>
      </c>
      <c r="G12" s="18" t="s">
        <v>56</v>
      </c>
      <c r="H12" s="18">
        <v>4</v>
      </c>
      <c r="I12" s="20">
        <v>11200</v>
      </c>
      <c r="J12" s="21">
        <v>0.08</v>
      </c>
      <c r="K12" s="18" t="s">
        <v>15</v>
      </c>
      <c r="L12" s="18" t="s">
        <v>7</v>
      </c>
      <c r="M12" s="18" t="s">
        <v>23</v>
      </c>
    </row>
    <row r="13" spans="1:13">
      <c r="A13" s="22" t="s">
        <v>57</v>
      </c>
      <c r="B13" s="23">
        <v>46039</v>
      </c>
      <c r="C13" s="22" t="s">
        <v>25</v>
      </c>
      <c r="D13" s="22" t="s">
        <v>26</v>
      </c>
      <c r="E13" s="22" t="s">
        <v>58</v>
      </c>
      <c r="F13" s="22" t="s">
        <v>20</v>
      </c>
      <c r="G13" s="22" t="s">
        <v>59</v>
      </c>
      <c r="H13" s="22">
        <v>20</v>
      </c>
      <c r="I13" s="24">
        <v>650</v>
      </c>
      <c r="J13" s="25">
        <v>0.02</v>
      </c>
      <c r="K13" s="22" t="s">
        <v>30</v>
      </c>
      <c r="L13" s="22" t="s">
        <v>7</v>
      </c>
      <c r="M13" s="22" t="s">
        <v>31</v>
      </c>
    </row>
    <row r="14" spans="1:13">
      <c r="A14" s="18" t="s">
        <v>60</v>
      </c>
      <c r="B14" s="19">
        <v>46041</v>
      </c>
      <c r="C14" s="18" t="s">
        <v>1</v>
      </c>
      <c r="D14" s="18" t="s">
        <v>11</v>
      </c>
      <c r="E14" s="18" t="s">
        <v>61</v>
      </c>
      <c r="F14" s="18" t="s">
        <v>13</v>
      </c>
      <c r="G14" s="18" t="s">
        <v>62</v>
      </c>
      <c r="H14" s="18">
        <v>3</v>
      </c>
      <c r="I14" s="20">
        <v>8900</v>
      </c>
      <c r="J14" s="21">
        <v>0.1</v>
      </c>
      <c r="K14" s="18" t="s">
        <v>15</v>
      </c>
      <c r="L14" s="18" t="s">
        <v>7</v>
      </c>
      <c r="M14" s="18" t="s">
        <v>8</v>
      </c>
    </row>
    <row r="15" spans="1:13">
      <c r="A15" s="22" t="s">
        <v>63</v>
      </c>
      <c r="B15" s="23">
        <v>46043</v>
      </c>
      <c r="C15" s="22" t="s">
        <v>10</v>
      </c>
      <c r="D15" s="22" t="s">
        <v>2</v>
      </c>
      <c r="E15" s="22" t="s">
        <v>64</v>
      </c>
      <c r="F15" s="22" t="s">
        <v>28</v>
      </c>
      <c r="G15" s="22" t="s">
        <v>65</v>
      </c>
      <c r="H15" s="22">
        <v>25</v>
      </c>
      <c r="I15" s="24">
        <v>180</v>
      </c>
      <c r="J15" s="25">
        <v>0</v>
      </c>
      <c r="K15" s="22" t="s">
        <v>22</v>
      </c>
      <c r="L15" s="22" t="s">
        <v>7</v>
      </c>
      <c r="M15" s="22" t="s">
        <v>39</v>
      </c>
    </row>
    <row r="16" spans="1:13">
      <c r="A16" s="18" t="s">
        <v>66</v>
      </c>
      <c r="B16" s="19">
        <v>46045</v>
      </c>
      <c r="C16" s="18" t="s">
        <v>18</v>
      </c>
      <c r="D16" s="18" t="s">
        <v>26</v>
      </c>
      <c r="E16" s="18" t="s">
        <v>67</v>
      </c>
      <c r="F16" s="18" t="s">
        <v>4</v>
      </c>
      <c r="G16" s="18" t="s">
        <v>68</v>
      </c>
      <c r="H16" s="18">
        <v>5</v>
      </c>
      <c r="I16" s="20">
        <v>28500</v>
      </c>
      <c r="J16" s="21">
        <v>0.06</v>
      </c>
      <c r="K16" s="18" t="s">
        <v>30</v>
      </c>
      <c r="L16" s="18" t="s">
        <v>7</v>
      </c>
      <c r="M16" s="18" t="s">
        <v>23</v>
      </c>
    </row>
    <row r="17" spans="1:13">
      <c r="A17" s="22" t="s">
        <v>69</v>
      </c>
      <c r="B17" s="23">
        <v>46047</v>
      </c>
      <c r="C17" s="22" t="s">
        <v>25</v>
      </c>
      <c r="D17" s="22" t="s">
        <v>11</v>
      </c>
      <c r="E17" s="22" t="s">
        <v>70</v>
      </c>
      <c r="F17" s="22" t="s">
        <v>34</v>
      </c>
      <c r="G17" s="22" t="s">
        <v>71</v>
      </c>
      <c r="H17" s="22">
        <v>7</v>
      </c>
      <c r="I17" s="24">
        <v>1500</v>
      </c>
      <c r="J17" s="25">
        <v>0.1</v>
      </c>
      <c r="K17" s="22" t="s">
        <v>6</v>
      </c>
      <c r="L17" s="22" t="s">
        <v>7</v>
      </c>
      <c r="M17" s="22" t="s">
        <v>31</v>
      </c>
    </row>
    <row r="18" spans="1:13">
      <c r="A18" s="18" t="s">
        <v>72</v>
      </c>
      <c r="B18" s="19">
        <v>46049</v>
      </c>
      <c r="C18" s="18" t="s">
        <v>1</v>
      </c>
      <c r="D18" s="18" t="s">
        <v>2</v>
      </c>
      <c r="E18" s="18" t="s">
        <v>73</v>
      </c>
      <c r="F18" s="18" t="s">
        <v>20</v>
      </c>
      <c r="G18" s="18" t="s">
        <v>74</v>
      </c>
      <c r="H18" s="18">
        <v>15</v>
      </c>
      <c r="I18" s="20">
        <v>320</v>
      </c>
      <c r="J18" s="21">
        <v>0.05</v>
      </c>
      <c r="K18" s="18" t="s">
        <v>22</v>
      </c>
      <c r="L18" s="18" t="s">
        <v>7</v>
      </c>
      <c r="M18" s="18" t="s">
        <v>8</v>
      </c>
    </row>
    <row r="19" spans="1:13">
      <c r="A19" s="22" t="s">
        <v>75</v>
      </c>
      <c r="B19" s="23">
        <v>46051</v>
      </c>
      <c r="C19" s="22" t="s">
        <v>10</v>
      </c>
      <c r="D19" s="22" t="s">
        <v>26</v>
      </c>
      <c r="E19" s="22" t="s">
        <v>76</v>
      </c>
      <c r="F19" s="22" t="s">
        <v>13</v>
      </c>
      <c r="G19" s="22" t="s">
        <v>77</v>
      </c>
      <c r="H19" s="22">
        <v>2</v>
      </c>
      <c r="I19" s="24">
        <v>12500</v>
      </c>
      <c r="J19" s="25">
        <v>0.08</v>
      </c>
      <c r="K19" s="22" t="s">
        <v>30</v>
      </c>
      <c r="L19" s="22" t="s">
        <v>43</v>
      </c>
      <c r="M19" s="22" t="s">
        <v>16</v>
      </c>
    </row>
    <row r="20" spans="1:13">
      <c r="A20" s="18" t="s">
        <v>78</v>
      </c>
      <c r="B20" s="19">
        <v>46055</v>
      </c>
      <c r="C20" s="18" t="s">
        <v>18</v>
      </c>
      <c r="D20" s="18" t="s">
        <v>11</v>
      </c>
      <c r="E20" s="18" t="s">
        <v>79</v>
      </c>
      <c r="F20" s="18" t="s">
        <v>4</v>
      </c>
      <c r="G20" s="18" t="s">
        <v>80</v>
      </c>
      <c r="H20" s="18">
        <v>4</v>
      </c>
      <c r="I20" s="20">
        <v>22000</v>
      </c>
      <c r="J20" s="21">
        <v>0.12</v>
      </c>
      <c r="K20" s="18" t="s">
        <v>15</v>
      </c>
      <c r="L20" s="18" t="s">
        <v>7</v>
      </c>
      <c r="M20" s="18" t="s">
        <v>23</v>
      </c>
    </row>
    <row r="21" spans="1:13">
      <c r="A21" s="22" t="s">
        <v>81</v>
      </c>
      <c r="B21" s="23">
        <v>46056</v>
      </c>
      <c r="C21" s="22" t="s">
        <v>25</v>
      </c>
      <c r="D21" s="22" t="s">
        <v>2</v>
      </c>
      <c r="E21" s="22" t="s">
        <v>82</v>
      </c>
      <c r="F21" s="22" t="s">
        <v>34</v>
      </c>
      <c r="G21" s="22" t="s">
        <v>83</v>
      </c>
      <c r="H21" s="22">
        <v>18</v>
      </c>
      <c r="I21" s="24">
        <v>650</v>
      </c>
      <c r="J21" s="25">
        <v>0.1</v>
      </c>
      <c r="K21" s="22" t="s">
        <v>6</v>
      </c>
      <c r="L21" s="22" t="s">
        <v>7</v>
      </c>
      <c r="M21" s="22" t="s">
        <v>31</v>
      </c>
    </row>
    <row r="22" spans="1:13">
      <c r="A22" s="18" t="s">
        <v>84</v>
      </c>
      <c r="B22" s="19">
        <v>46058</v>
      </c>
      <c r="C22" s="18" t="s">
        <v>1</v>
      </c>
      <c r="D22" s="18" t="s">
        <v>26</v>
      </c>
      <c r="E22" s="18" t="s">
        <v>85</v>
      </c>
      <c r="F22" s="18" t="s">
        <v>28</v>
      </c>
      <c r="G22" s="18" t="s">
        <v>86</v>
      </c>
      <c r="H22" s="18">
        <v>3</v>
      </c>
      <c r="I22" s="20">
        <v>9800</v>
      </c>
      <c r="J22" s="21">
        <v>0.05</v>
      </c>
      <c r="K22" s="18" t="s">
        <v>30</v>
      </c>
      <c r="L22" s="18" t="s">
        <v>7</v>
      </c>
      <c r="M22" s="18" t="s">
        <v>8</v>
      </c>
    </row>
    <row r="23" spans="1:13">
      <c r="A23" s="22" t="s">
        <v>87</v>
      </c>
      <c r="B23" s="23">
        <v>46060</v>
      </c>
      <c r="C23" s="22" t="s">
        <v>10</v>
      </c>
      <c r="D23" s="22" t="s">
        <v>11</v>
      </c>
      <c r="E23" s="22" t="s">
        <v>88</v>
      </c>
      <c r="F23" s="22" t="s">
        <v>20</v>
      </c>
      <c r="G23" s="22" t="s">
        <v>89</v>
      </c>
      <c r="H23" s="22">
        <v>10</v>
      </c>
      <c r="I23" s="24">
        <v>480</v>
      </c>
      <c r="J23" s="25">
        <v>0</v>
      </c>
      <c r="K23" s="22" t="s">
        <v>15</v>
      </c>
      <c r="L23" s="22" t="s">
        <v>7</v>
      </c>
      <c r="M23" s="22" t="s">
        <v>39</v>
      </c>
    </row>
    <row r="24" spans="1:13">
      <c r="A24" s="18" t="s">
        <v>90</v>
      </c>
      <c r="B24" s="19">
        <v>46061</v>
      </c>
      <c r="C24" s="18" t="s">
        <v>18</v>
      </c>
      <c r="D24" s="18" t="s">
        <v>2</v>
      </c>
      <c r="E24" s="18" t="s">
        <v>91</v>
      </c>
      <c r="F24" s="18" t="s">
        <v>13</v>
      </c>
      <c r="G24" s="18" t="s">
        <v>92</v>
      </c>
      <c r="H24" s="18">
        <v>2</v>
      </c>
      <c r="I24" s="20">
        <v>16800</v>
      </c>
      <c r="J24" s="21">
        <v>7.0000000000000007E-2</v>
      </c>
      <c r="K24" s="18" t="s">
        <v>6</v>
      </c>
      <c r="L24" s="18" t="s">
        <v>7</v>
      </c>
      <c r="M24" s="18" t="s">
        <v>23</v>
      </c>
    </row>
    <row r="25" spans="1:13">
      <c r="A25" s="22" t="s">
        <v>93</v>
      </c>
      <c r="B25" s="23">
        <v>46063</v>
      </c>
      <c r="C25" s="22" t="s">
        <v>25</v>
      </c>
      <c r="D25" s="22" t="s">
        <v>26</v>
      </c>
      <c r="E25" s="22" t="s">
        <v>94</v>
      </c>
      <c r="F25" s="22" t="s">
        <v>4</v>
      </c>
      <c r="G25" s="22" t="s">
        <v>95</v>
      </c>
      <c r="H25" s="22">
        <v>15</v>
      </c>
      <c r="I25" s="24">
        <v>950</v>
      </c>
      <c r="J25" s="25">
        <v>0.04</v>
      </c>
      <c r="K25" s="22" t="s">
        <v>30</v>
      </c>
      <c r="L25" s="22" t="s">
        <v>7</v>
      </c>
      <c r="M25" s="22" t="s">
        <v>31</v>
      </c>
    </row>
    <row r="26" spans="1:13">
      <c r="A26" s="18" t="s">
        <v>96</v>
      </c>
      <c r="B26" s="19">
        <v>46065</v>
      </c>
      <c r="C26" s="18" t="s">
        <v>1</v>
      </c>
      <c r="D26" s="18" t="s">
        <v>11</v>
      </c>
      <c r="E26" s="18" t="s">
        <v>97</v>
      </c>
      <c r="F26" s="18" t="s">
        <v>34</v>
      </c>
      <c r="G26" s="18" t="s">
        <v>98</v>
      </c>
      <c r="H26" s="18">
        <v>9</v>
      </c>
      <c r="I26" s="20">
        <v>1750</v>
      </c>
      <c r="J26" s="21">
        <v>0.15</v>
      </c>
      <c r="K26" s="18" t="s">
        <v>15</v>
      </c>
      <c r="L26" s="18" t="s">
        <v>7</v>
      </c>
      <c r="M26" s="18" t="s">
        <v>8</v>
      </c>
    </row>
    <row r="27" spans="1:13">
      <c r="A27" s="22" t="s">
        <v>99</v>
      </c>
      <c r="B27" s="23">
        <v>46067</v>
      </c>
      <c r="C27" s="22" t="s">
        <v>10</v>
      </c>
      <c r="D27" s="22" t="s">
        <v>2</v>
      </c>
      <c r="E27" s="22" t="s">
        <v>100</v>
      </c>
      <c r="F27" s="22" t="s">
        <v>28</v>
      </c>
      <c r="G27" s="22" t="s">
        <v>101</v>
      </c>
      <c r="H27" s="22">
        <v>12</v>
      </c>
      <c r="I27" s="24">
        <v>850</v>
      </c>
      <c r="J27" s="25">
        <v>0.03</v>
      </c>
      <c r="K27" s="22" t="s">
        <v>22</v>
      </c>
      <c r="L27" s="22" t="s">
        <v>7</v>
      </c>
      <c r="M27" s="22" t="s">
        <v>39</v>
      </c>
    </row>
    <row r="28" spans="1:13">
      <c r="A28" s="18" t="s">
        <v>102</v>
      </c>
      <c r="B28" s="19">
        <v>46069</v>
      </c>
      <c r="C28" s="18" t="s">
        <v>18</v>
      </c>
      <c r="D28" s="18" t="s">
        <v>26</v>
      </c>
      <c r="E28" s="18" t="s">
        <v>103</v>
      </c>
      <c r="F28" s="18" t="s">
        <v>20</v>
      </c>
      <c r="G28" s="18" t="s">
        <v>104</v>
      </c>
      <c r="H28" s="18">
        <v>18</v>
      </c>
      <c r="I28" s="20">
        <v>720</v>
      </c>
      <c r="J28" s="21">
        <v>0</v>
      </c>
      <c r="K28" s="18" t="s">
        <v>30</v>
      </c>
      <c r="L28" s="18" t="s">
        <v>105</v>
      </c>
      <c r="M28" s="18" t="s">
        <v>23</v>
      </c>
    </row>
    <row r="29" spans="1:13">
      <c r="A29" s="22" t="s">
        <v>106</v>
      </c>
      <c r="B29" s="23">
        <v>46071</v>
      </c>
      <c r="C29" s="22" t="s">
        <v>25</v>
      </c>
      <c r="D29" s="22" t="s">
        <v>11</v>
      </c>
      <c r="E29" s="22" t="s">
        <v>107</v>
      </c>
      <c r="F29" s="22" t="s">
        <v>13</v>
      </c>
      <c r="G29" s="22" t="s">
        <v>108</v>
      </c>
      <c r="H29" s="22">
        <v>6</v>
      </c>
      <c r="I29" s="24">
        <v>2600</v>
      </c>
      <c r="J29" s="25">
        <v>0.08</v>
      </c>
      <c r="K29" s="22" t="s">
        <v>6</v>
      </c>
      <c r="L29" s="22" t="s">
        <v>7</v>
      </c>
      <c r="M29" s="22" t="s">
        <v>31</v>
      </c>
    </row>
    <row r="30" spans="1:13">
      <c r="A30" s="18" t="s">
        <v>109</v>
      </c>
      <c r="B30" s="19">
        <v>46073</v>
      </c>
      <c r="C30" s="18" t="s">
        <v>1</v>
      </c>
      <c r="D30" s="18" t="s">
        <v>2</v>
      </c>
      <c r="E30" s="18" t="s">
        <v>110</v>
      </c>
      <c r="F30" s="18" t="s">
        <v>4</v>
      </c>
      <c r="G30" s="18" t="s">
        <v>111</v>
      </c>
      <c r="H30" s="18">
        <v>14</v>
      </c>
      <c r="I30" s="20">
        <v>1100</v>
      </c>
      <c r="J30" s="21">
        <v>0.05</v>
      </c>
      <c r="K30" s="18" t="s">
        <v>15</v>
      </c>
      <c r="L30" s="18" t="s">
        <v>7</v>
      </c>
      <c r="M30" s="18" t="s">
        <v>8</v>
      </c>
    </row>
    <row r="31" spans="1:13">
      <c r="A31" s="22" t="s">
        <v>112</v>
      </c>
      <c r="B31" s="23">
        <v>46075</v>
      </c>
      <c r="C31" s="22" t="s">
        <v>10</v>
      </c>
      <c r="D31" s="22" t="s">
        <v>26</v>
      </c>
      <c r="E31" s="22" t="s">
        <v>113</v>
      </c>
      <c r="F31" s="22" t="s">
        <v>34</v>
      </c>
      <c r="G31" s="22" t="s">
        <v>114</v>
      </c>
      <c r="H31" s="22">
        <v>5</v>
      </c>
      <c r="I31" s="24">
        <v>2800</v>
      </c>
      <c r="J31" s="25">
        <v>0.12</v>
      </c>
      <c r="K31" s="22" t="s">
        <v>30</v>
      </c>
      <c r="L31" s="22" t="s">
        <v>7</v>
      </c>
      <c r="M31" s="22" t="s">
        <v>16</v>
      </c>
    </row>
    <row r="32" spans="1:13">
      <c r="A32" s="18" t="s">
        <v>115</v>
      </c>
      <c r="B32" s="19">
        <v>46082</v>
      </c>
      <c r="C32" s="18" t="s">
        <v>18</v>
      </c>
      <c r="D32" s="18" t="s">
        <v>11</v>
      </c>
      <c r="E32" s="18" t="s">
        <v>116</v>
      </c>
      <c r="F32" s="18" t="s">
        <v>4</v>
      </c>
      <c r="G32" s="18" t="s">
        <v>117</v>
      </c>
      <c r="H32" s="18">
        <v>7</v>
      </c>
      <c r="I32" s="20">
        <v>6400</v>
      </c>
      <c r="J32" s="21">
        <v>0.1</v>
      </c>
      <c r="K32" s="18" t="s">
        <v>15</v>
      </c>
      <c r="L32" s="18" t="s">
        <v>7</v>
      </c>
      <c r="M32" s="18" t="s">
        <v>23</v>
      </c>
    </row>
    <row r="33" spans="1:13">
      <c r="A33" s="22" t="s">
        <v>118</v>
      </c>
      <c r="B33" s="23">
        <v>46084</v>
      </c>
      <c r="C33" s="22" t="s">
        <v>25</v>
      </c>
      <c r="D33" s="22" t="s">
        <v>2</v>
      </c>
      <c r="E33" s="22" t="s">
        <v>119</v>
      </c>
      <c r="F33" s="22" t="s">
        <v>20</v>
      </c>
      <c r="G33" s="22" t="s">
        <v>120</v>
      </c>
      <c r="H33" s="22">
        <v>16</v>
      </c>
      <c r="I33" s="24">
        <v>540</v>
      </c>
      <c r="J33" s="25">
        <v>0.02</v>
      </c>
      <c r="K33" s="22" t="s">
        <v>6</v>
      </c>
      <c r="L33" s="22" t="s">
        <v>7</v>
      </c>
      <c r="M33" s="22" t="s">
        <v>31</v>
      </c>
    </row>
    <row r="34" spans="1:13">
      <c r="A34" s="18" t="s">
        <v>121</v>
      </c>
      <c r="B34" s="19">
        <v>46085</v>
      </c>
      <c r="C34" s="18" t="s">
        <v>1</v>
      </c>
      <c r="D34" s="18" t="s">
        <v>26</v>
      </c>
      <c r="E34" s="18" t="s">
        <v>122</v>
      </c>
      <c r="F34" s="18" t="s">
        <v>13</v>
      </c>
      <c r="G34" s="18" t="s">
        <v>123</v>
      </c>
      <c r="H34" s="18">
        <v>2</v>
      </c>
      <c r="I34" s="20">
        <v>38500</v>
      </c>
      <c r="J34" s="21">
        <v>0.06</v>
      </c>
      <c r="K34" s="18" t="s">
        <v>30</v>
      </c>
      <c r="L34" s="18" t="s">
        <v>7</v>
      </c>
      <c r="M34" s="18" t="s">
        <v>8</v>
      </c>
    </row>
    <row r="35" spans="1:13">
      <c r="A35" s="22" t="s">
        <v>124</v>
      </c>
      <c r="B35" s="23">
        <v>46087</v>
      </c>
      <c r="C35" s="22" t="s">
        <v>10</v>
      </c>
      <c r="D35" s="22" t="s">
        <v>11</v>
      </c>
      <c r="E35" s="22" t="s">
        <v>125</v>
      </c>
      <c r="F35" s="22" t="s">
        <v>28</v>
      </c>
      <c r="G35" s="22" t="s">
        <v>126</v>
      </c>
      <c r="H35" s="22">
        <v>10</v>
      </c>
      <c r="I35" s="24">
        <v>1450</v>
      </c>
      <c r="J35" s="25">
        <v>0.05</v>
      </c>
      <c r="K35" s="22" t="s">
        <v>15</v>
      </c>
      <c r="L35" s="22" t="s">
        <v>7</v>
      </c>
      <c r="M35" s="22" t="s">
        <v>39</v>
      </c>
    </row>
    <row r="36" spans="1:13">
      <c r="A36" s="18" t="s">
        <v>127</v>
      </c>
      <c r="B36" s="19">
        <v>46089</v>
      </c>
      <c r="C36" s="18" t="s">
        <v>18</v>
      </c>
      <c r="D36" s="18" t="s">
        <v>2</v>
      </c>
      <c r="E36" s="18" t="s">
        <v>128</v>
      </c>
      <c r="F36" s="18" t="s">
        <v>34</v>
      </c>
      <c r="G36" s="18" t="s">
        <v>129</v>
      </c>
      <c r="H36" s="18">
        <v>4</v>
      </c>
      <c r="I36" s="20">
        <v>4200</v>
      </c>
      <c r="J36" s="21">
        <v>0.1</v>
      </c>
      <c r="K36" s="18" t="s">
        <v>6</v>
      </c>
      <c r="L36" s="18" t="s">
        <v>43</v>
      </c>
      <c r="M36" s="18" t="s">
        <v>23</v>
      </c>
    </row>
    <row r="37" spans="1:13">
      <c r="A37" s="22" t="s">
        <v>130</v>
      </c>
      <c r="B37" s="23">
        <v>46091</v>
      </c>
      <c r="C37" s="22" t="s">
        <v>25</v>
      </c>
      <c r="D37" s="22" t="s">
        <v>26</v>
      </c>
      <c r="E37" s="22" t="s">
        <v>131</v>
      </c>
      <c r="F37" s="22" t="s">
        <v>4</v>
      </c>
      <c r="G37" s="22" t="s">
        <v>132</v>
      </c>
      <c r="H37" s="22">
        <v>2</v>
      </c>
      <c r="I37" s="24">
        <v>46500</v>
      </c>
      <c r="J37" s="25">
        <v>0.08</v>
      </c>
      <c r="K37" s="22" t="s">
        <v>30</v>
      </c>
      <c r="L37" s="22" t="s">
        <v>7</v>
      </c>
      <c r="M37" s="22" t="s">
        <v>31</v>
      </c>
    </row>
    <row r="38" spans="1:13">
      <c r="A38" s="18" t="s">
        <v>133</v>
      </c>
      <c r="B38" s="19">
        <v>46093</v>
      </c>
      <c r="C38" s="18" t="s">
        <v>1</v>
      </c>
      <c r="D38" s="18" t="s">
        <v>11</v>
      </c>
      <c r="E38" s="18" t="s">
        <v>134</v>
      </c>
      <c r="F38" s="18" t="s">
        <v>20</v>
      </c>
      <c r="G38" s="18" t="s">
        <v>135</v>
      </c>
      <c r="H38" s="18">
        <v>8</v>
      </c>
      <c r="I38" s="20">
        <v>950</v>
      </c>
      <c r="J38" s="21">
        <v>0.05</v>
      </c>
      <c r="K38" s="18" t="s">
        <v>15</v>
      </c>
      <c r="L38" s="18" t="s">
        <v>7</v>
      </c>
      <c r="M38" s="18" t="s">
        <v>8</v>
      </c>
    </row>
    <row r="39" spans="1:13">
      <c r="A39" s="22" t="s">
        <v>136</v>
      </c>
      <c r="B39" s="23">
        <v>46095</v>
      </c>
      <c r="C39" s="22" t="s">
        <v>10</v>
      </c>
      <c r="D39" s="22" t="s">
        <v>2</v>
      </c>
      <c r="E39" s="22" t="s">
        <v>137</v>
      </c>
      <c r="F39" s="22" t="s">
        <v>13</v>
      </c>
      <c r="G39" s="22" t="s">
        <v>138</v>
      </c>
      <c r="H39" s="22">
        <v>5</v>
      </c>
      <c r="I39" s="24">
        <v>3500</v>
      </c>
      <c r="J39" s="25">
        <v>7.0000000000000007E-2</v>
      </c>
      <c r="K39" s="22" t="s">
        <v>22</v>
      </c>
      <c r="L39" s="22" t="s">
        <v>7</v>
      </c>
      <c r="M39" s="22" t="s">
        <v>39</v>
      </c>
    </row>
    <row r="40" spans="1:13">
      <c r="A40" s="18" t="s">
        <v>139</v>
      </c>
      <c r="B40" s="19">
        <v>46098</v>
      </c>
      <c r="C40" s="18" t="s">
        <v>18</v>
      </c>
      <c r="D40" s="18" t="s">
        <v>26</v>
      </c>
      <c r="E40" s="18" t="s">
        <v>140</v>
      </c>
      <c r="F40" s="18" t="s">
        <v>28</v>
      </c>
      <c r="G40" s="18" t="s">
        <v>141</v>
      </c>
      <c r="H40" s="18">
        <v>3</v>
      </c>
      <c r="I40" s="20">
        <v>11200</v>
      </c>
      <c r="J40" s="21">
        <v>0.04</v>
      </c>
      <c r="K40" s="18" t="s">
        <v>30</v>
      </c>
      <c r="L40" s="18" t="s">
        <v>7</v>
      </c>
      <c r="M40" s="18" t="s">
        <v>23</v>
      </c>
    </row>
    <row r="41" spans="1:13">
      <c r="A41" s="22" t="s">
        <v>142</v>
      </c>
      <c r="B41" s="23">
        <v>46100</v>
      </c>
      <c r="C41" s="22" t="s">
        <v>25</v>
      </c>
      <c r="D41" s="22" t="s">
        <v>11</v>
      </c>
      <c r="E41" s="22" t="s">
        <v>143</v>
      </c>
      <c r="F41" s="22" t="s">
        <v>34</v>
      </c>
      <c r="G41" s="22" t="s">
        <v>144</v>
      </c>
      <c r="H41" s="22">
        <v>6</v>
      </c>
      <c r="I41" s="24">
        <v>5600</v>
      </c>
      <c r="J41" s="25">
        <v>0.15</v>
      </c>
      <c r="K41" s="22" t="s">
        <v>15</v>
      </c>
      <c r="L41" s="22" t="s">
        <v>53</v>
      </c>
      <c r="M41" s="22" t="s">
        <v>31</v>
      </c>
    </row>
    <row r="42" spans="1:13">
      <c r="A42" s="18" t="s">
        <v>145</v>
      </c>
      <c r="B42" s="19">
        <v>46102</v>
      </c>
      <c r="C42" s="18" t="s">
        <v>1</v>
      </c>
      <c r="D42" s="18" t="s">
        <v>2</v>
      </c>
      <c r="E42" s="18" t="s">
        <v>146</v>
      </c>
      <c r="F42" s="18" t="s">
        <v>4</v>
      </c>
      <c r="G42" s="18" t="s">
        <v>147</v>
      </c>
      <c r="H42" s="18">
        <v>9</v>
      </c>
      <c r="I42" s="20">
        <v>4200</v>
      </c>
      <c r="J42" s="21">
        <v>0.05</v>
      </c>
      <c r="K42" s="18" t="s">
        <v>6</v>
      </c>
      <c r="L42" s="18" t="s">
        <v>7</v>
      </c>
      <c r="M42" s="18" t="s">
        <v>8</v>
      </c>
    </row>
    <row r="43" spans="1:13">
      <c r="A43" s="22" t="s">
        <v>148</v>
      </c>
      <c r="B43" s="23">
        <v>46104</v>
      </c>
      <c r="C43" s="22" t="s">
        <v>10</v>
      </c>
      <c r="D43" s="22" t="s">
        <v>26</v>
      </c>
      <c r="E43" s="22" t="s">
        <v>149</v>
      </c>
      <c r="F43" s="22" t="s">
        <v>20</v>
      </c>
      <c r="G43" s="22" t="s">
        <v>150</v>
      </c>
      <c r="H43" s="22">
        <v>22</v>
      </c>
      <c r="I43" s="24">
        <v>260</v>
      </c>
      <c r="J43" s="25">
        <v>0</v>
      </c>
      <c r="K43" s="22" t="s">
        <v>30</v>
      </c>
      <c r="L43" s="22" t="s">
        <v>7</v>
      </c>
      <c r="M43" s="22" t="s">
        <v>16</v>
      </c>
    </row>
    <row r="44" spans="1:13">
      <c r="A44" s="18" t="s">
        <v>151</v>
      </c>
      <c r="B44" s="19">
        <v>46106</v>
      </c>
      <c r="C44" s="18" t="s">
        <v>18</v>
      </c>
      <c r="D44" s="18" t="s">
        <v>11</v>
      </c>
      <c r="E44" s="18" t="s">
        <v>152</v>
      </c>
      <c r="F44" s="18" t="s">
        <v>13</v>
      </c>
      <c r="G44" s="18" t="s">
        <v>153</v>
      </c>
      <c r="H44" s="18">
        <v>3</v>
      </c>
      <c r="I44" s="20">
        <v>7800</v>
      </c>
      <c r="J44" s="21">
        <v>0.1</v>
      </c>
      <c r="K44" s="18" t="s">
        <v>15</v>
      </c>
      <c r="L44" s="18" t="s">
        <v>7</v>
      </c>
      <c r="M44" s="18" t="s">
        <v>23</v>
      </c>
    </row>
    <row r="45" spans="1:13">
      <c r="A45" s="22" t="s">
        <v>154</v>
      </c>
      <c r="B45" s="23">
        <v>46108</v>
      </c>
      <c r="C45" s="22" t="s">
        <v>25</v>
      </c>
      <c r="D45" s="22" t="s">
        <v>2</v>
      </c>
      <c r="E45" s="22" t="s">
        <v>155</v>
      </c>
      <c r="F45" s="22" t="s">
        <v>28</v>
      </c>
      <c r="G45" s="22" t="s">
        <v>156</v>
      </c>
      <c r="H45" s="22">
        <v>20</v>
      </c>
      <c r="I45" s="24">
        <v>125</v>
      </c>
      <c r="J45" s="25">
        <v>0</v>
      </c>
      <c r="K45" s="22" t="s">
        <v>22</v>
      </c>
      <c r="L45" s="22" t="s">
        <v>7</v>
      </c>
      <c r="M45" s="22" t="s">
        <v>31</v>
      </c>
    </row>
    <row r="46" spans="1:13">
      <c r="A46" s="18" t="s">
        <v>157</v>
      </c>
      <c r="B46" s="19">
        <v>46110</v>
      </c>
      <c r="C46" s="18" t="s">
        <v>1</v>
      </c>
      <c r="D46" s="18" t="s">
        <v>26</v>
      </c>
      <c r="E46" s="18" t="s">
        <v>158</v>
      </c>
      <c r="F46" s="18" t="s">
        <v>4</v>
      </c>
      <c r="G46" s="18" t="s">
        <v>159</v>
      </c>
      <c r="H46" s="18">
        <v>2</v>
      </c>
      <c r="I46" s="20">
        <v>42000</v>
      </c>
      <c r="J46" s="21">
        <v>7.0000000000000007E-2</v>
      </c>
      <c r="K46" s="18" t="s">
        <v>30</v>
      </c>
      <c r="L46" s="18" t="s">
        <v>7</v>
      </c>
      <c r="M46" s="18" t="s">
        <v>8</v>
      </c>
    </row>
    <row r="47" spans="1:13">
      <c r="A47" s="22" t="s">
        <v>160</v>
      </c>
      <c r="B47" s="23">
        <v>46114</v>
      </c>
      <c r="C47" s="22" t="s">
        <v>10</v>
      </c>
      <c r="D47" s="22" t="s">
        <v>11</v>
      </c>
      <c r="E47" s="22" t="s">
        <v>161</v>
      </c>
      <c r="F47" s="22" t="s">
        <v>34</v>
      </c>
      <c r="G47" s="22" t="s">
        <v>162</v>
      </c>
      <c r="H47" s="22">
        <v>11</v>
      </c>
      <c r="I47" s="24">
        <v>1350</v>
      </c>
      <c r="J47" s="25">
        <v>0.1</v>
      </c>
      <c r="K47" s="22" t="s">
        <v>6</v>
      </c>
      <c r="L47" s="22" t="s">
        <v>7</v>
      </c>
      <c r="M47" s="22" t="s">
        <v>39</v>
      </c>
    </row>
    <row r="48" spans="1:13">
      <c r="A48" s="18" t="s">
        <v>163</v>
      </c>
      <c r="B48" s="19">
        <v>46116</v>
      </c>
      <c r="C48" s="18" t="s">
        <v>18</v>
      </c>
      <c r="D48" s="18" t="s">
        <v>2</v>
      </c>
      <c r="E48" s="18" t="s">
        <v>164</v>
      </c>
      <c r="F48" s="18" t="s">
        <v>20</v>
      </c>
      <c r="G48" s="18" t="s">
        <v>165</v>
      </c>
      <c r="H48" s="18">
        <v>14</v>
      </c>
      <c r="I48" s="20">
        <v>390</v>
      </c>
      <c r="J48" s="21">
        <v>0.03</v>
      </c>
      <c r="K48" s="18" t="s">
        <v>15</v>
      </c>
      <c r="L48" s="18" t="s">
        <v>7</v>
      </c>
      <c r="M48" s="18" t="s">
        <v>23</v>
      </c>
    </row>
    <row r="49" spans="1:13">
      <c r="A49" s="22" t="s">
        <v>166</v>
      </c>
      <c r="B49" s="23">
        <v>46118</v>
      </c>
      <c r="C49" s="22" t="s">
        <v>25</v>
      </c>
      <c r="D49" s="22" t="s">
        <v>26</v>
      </c>
      <c r="E49" s="22" t="s">
        <v>167</v>
      </c>
      <c r="F49" s="22" t="s">
        <v>13</v>
      </c>
      <c r="G49" s="22" t="s">
        <v>168</v>
      </c>
      <c r="H49" s="22">
        <v>2</v>
      </c>
      <c r="I49" s="24">
        <v>31500</v>
      </c>
      <c r="J49" s="25">
        <v>0.08</v>
      </c>
      <c r="K49" s="22" t="s">
        <v>30</v>
      </c>
      <c r="L49" s="22" t="s">
        <v>7</v>
      </c>
      <c r="M49" s="22" t="s">
        <v>31</v>
      </c>
    </row>
    <row r="50" spans="1:13">
      <c r="A50" s="18" t="s">
        <v>169</v>
      </c>
      <c r="B50" s="19">
        <v>46120</v>
      </c>
      <c r="C50" s="18" t="s">
        <v>1</v>
      </c>
      <c r="D50" s="18" t="s">
        <v>11</v>
      </c>
      <c r="E50" s="18" t="s">
        <v>170</v>
      </c>
      <c r="F50" s="18" t="s">
        <v>4</v>
      </c>
      <c r="G50" s="18" t="s">
        <v>171</v>
      </c>
      <c r="H50" s="18">
        <v>8</v>
      </c>
      <c r="I50" s="20">
        <v>2600</v>
      </c>
      <c r="J50" s="21">
        <v>0.12</v>
      </c>
      <c r="K50" s="18" t="s">
        <v>15</v>
      </c>
      <c r="L50" s="18" t="s">
        <v>7</v>
      </c>
      <c r="M50" s="18" t="s">
        <v>8</v>
      </c>
    </row>
    <row r="51" spans="1:13">
      <c r="A51" s="22" t="s">
        <v>172</v>
      </c>
      <c r="B51" s="23">
        <v>46122</v>
      </c>
      <c r="C51" s="22" t="s">
        <v>10</v>
      </c>
      <c r="D51" s="22" t="s">
        <v>2</v>
      </c>
      <c r="E51" s="22" t="s">
        <v>173</v>
      </c>
      <c r="F51" s="22" t="s">
        <v>28</v>
      </c>
      <c r="G51" s="22" t="s">
        <v>174</v>
      </c>
      <c r="H51" s="22">
        <v>30</v>
      </c>
      <c r="I51" s="24">
        <v>220</v>
      </c>
      <c r="J51" s="25">
        <v>0</v>
      </c>
      <c r="K51" s="22" t="s">
        <v>22</v>
      </c>
      <c r="L51" s="22" t="s">
        <v>7</v>
      </c>
      <c r="M51" s="22" t="s">
        <v>39</v>
      </c>
    </row>
    <row r="52" spans="1:13">
      <c r="A52" s="18" t="s">
        <v>175</v>
      </c>
      <c r="B52" s="19">
        <v>46124</v>
      </c>
      <c r="C52" s="18" t="s">
        <v>18</v>
      </c>
      <c r="D52" s="18" t="s">
        <v>26</v>
      </c>
      <c r="E52" s="18" t="s">
        <v>176</v>
      </c>
      <c r="F52" s="18" t="s">
        <v>34</v>
      </c>
      <c r="G52" s="18" t="s">
        <v>177</v>
      </c>
      <c r="H52" s="18">
        <v>4</v>
      </c>
      <c r="I52" s="20">
        <v>3600</v>
      </c>
      <c r="J52" s="21">
        <v>0.05</v>
      </c>
      <c r="K52" s="18" t="s">
        <v>30</v>
      </c>
      <c r="L52" s="18" t="s">
        <v>7</v>
      </c>
      <c r="M52" s="18" t="s">
        <v>23</v>
      </c>
    </row>
    <row r="53" spans="1:13">
      <c r="A53" s="22" t="s">
        <v>178</v>
      </c>
      <c r="B53" s="23">
        <v>46126</v>
      </c>
      <c r="C53" s="22" t="s">
        <v>25</v>
      </c>
      <c r="D53" s="22" t="s">
        <v>11</v>
      </c>
      <c r="E53" s="22" t="s">
        <v>179</v>
      </c>
      <c r="F53" s="22" t="s">
        <v>20</v>
      </c>
      <c r="G53" s="22" t="s">
        <v>180</v>
      </c>
      <c r="H53" s="22">
        <v>12</v>
      </c>
      <c r="I53" s="24">
        <v>440</v>
      </c>
      <c r="J53" s="25">
        <v>0.04</v>
      </c>
      <c r="K53" s="22" t="s">
        <v>6</v>
      </c>
      <c r="L53" s="22" t="s">
        <v>7</v>
      </c>
      <c r="M53" s="22" t="s">
        <v>31</v>
      </c>
    </row>
    <row r="54" spans="1:13">
      <c r="A54" s="18" t="s">
        <v>181</v>
      </c>
      <c r="B54" s="19">
        <v>46128</v>
      </c>
      <c r="C54" s="18" t="s">
        <v>1</v>
      </c>
      <c r="D54" s="18" t="s">
        <v>2</v>
      </c>
      <c r="E54" s="18" t="s">
        <v>182</v>
      </c>
      <c r="F54" s="18" t="s">
        <v>13</v>
      </c>
      <c r="G54" s="18" t="s">
        <v>183</v>
      </c>
      <c r="H54" s="18">
        <v>4</v>
      </c>
      <c r="I54" s="20">
        <v>3900</v>
      </c>
      <c r="J54" s="21">
        <v>0.08</v>
      </c>
      <c r="K54" s="18" t="s">
        <v>15</v>
      </c>
      <c r="L54" s="18" t="s">
        <v>7</v>
      </c>
      <c r="M54" s="18" t="s">
        <v>8</v>
      </c>
    </row>
    <row r="55" spans="1:13">
      <c r="A55" s="22" t="s">
        <v>184</v>
      </c>
      <c r="B55" s="23">
        <v>46130</v>
      </c>
      <c r="C55" s="22" t="s">
        <v>10</v>
      </c>
      <c r="D55" s="22" t="s">
        <v>26</v>
      </c>
      <c r="E55" s="22" t="s">
        <v>185</v>
      </c>
      <c r="F55" s="22" t="s">
        <v>4</v>
      </c>
      <c r="G55" s="22" t="s">
        <v>186</v>
      </c>
      <c r="H55" s="22">
        <v>10</v>
      </c>
      <c r="I55" s="24">
        <v>2400</v>
      </c>
      <c r="J55" s="25">
        <v>0.06</v>
      </c>
      <c r="K55" s="22" t="s">
        <v>30</v>
      </c>
      <c r="L55" s="22" t="s">
        <v>43</v>
      </c>
      <c r="M55" s="22" t="s">
        <v>16</v>
      </c>
    </row>
    <row r="56" spans="1:13">
      <c r="A56" s="18" t="s">
        <v>187</v>
      </c>
      <c r="B56" s="19">
        <v>46132</v>
      </c>
      <c r="C56" s="18" t="s">
        <v>18</v>
      </c>
      <c r="D56" s="18" t="s">
        <v>11</v>
      </c>
      <c r="E56" s="18" t="s">
        <v>188</v>
      </c>
      <c r="F56" s="18" t="s">
        <v>28</v>
      </c>
      <c r="G56" s="18" t="s">
        <v>189</v>
      </c>
      <c r="H56" s="18">
        <v>7</v>
      </c>
      <c r="I56" s="20">
        <v>1850</v>
      </c>
      <c r="J56" s="21">
        <v>0.05</v>
      </c>
      <c r="K56" s="18" t="s">
        <v>15</v>
      </c>
      <c r="L56" s="18" t="s">
        <v>7</v>
      </c>
      <c r="M56" s="18" t="s">
        <v>23</v>
      </c>
    </row>
    <row r="57" spans="1:13">
      <c r="A57" s="22" t="s">
        <v>190</v>
      </c>
      <c r="B57" s="23">
        <v>46134</v>
      </c>
      <c r="C57" s="22" t="s">
        <v>25</v>
      </c>
      <c r="D57" s="22" t="s">
        <v>2</v>
      </c>
      <c r="E57" s="22" t="s">
        <v>191</v>
      </c>
      <c r="F57" s="22" t="s">
        <v>34</v>
      </c>
      <c r="G57" s="22" t="s">
        <v>192</v>
      </c>
      <c r="H57" s="22">
        <v>13</v>
      </c>
      <c r="I57" s="24">
        <v>950</v>
      </c>
      <c r="J57" s="25">
        <v>0.1</v>
      </c>
      <c r="K57" s="22" t="s">
        <v>6</v>
      </c>
      <c r="L57" s="22" t="s">
        <v>7</v>
      </c>
      <c r="M57" s="22" t="s">
        <v>31</v>
      </c>
    </row>
    <row r="58" spans="1:13">
      <c r="A58" s="18" t="s">
        <v>193</v>
      </c>
      <c r="B58" s="19">
        <v>46136</v>
      </c>
      <c r="C58" s="18" t="s">
        <v>1</v>
      </c>
      <c r="D58" s="18" t="s">
        <v>26</v>
      </c>
      <c r="E58" s="18" t="s">
        <v>194</v>
      </c>
      <c r="F58" s="18" t="s">
        <v>20</v>
      </c>
      <c r="G58" s="18" t="s">
        <v>195</v>
      </c>
      <c r="H58" s="18">
        <v>16</v>
      </c>
      <c r="I58" s="20">
        <v>880</v>
      </c>
      <c r="J58" s="21">
        <v>0.02</v>
      </c>
      <c r="K58" s="18" t="s">
        <v>30</v>
      </c>
      <c r="L58" s="18" t="s">
        <v>7</v>
      </c>
      <c r="M58" s="18" t="s">
        <v>8</v>
      </c>
    </row>
    <row r="59" spans="1:13">
      <c r="A59" s="22" t="s">
        <v>196</v>
      </c>
      <c r="B59" s="23">
        <v>46138</v>
      </c>
      <c r="C59" s="22" t="s">
        <v>10</v>
      </c>
      <c r="D59" s="22" t="s">
        <v>11</v>
      </c>
      <c r="E59" s="22" t="s">
        <v>197</v>
      </c>
      <c r="F59" s="22" t="s">
        <v>13</v>
      </c>
      <c r="G59" s="22" t="s">
        <v>198</v>
      </c>
      <c r="H59" s="22">
        <v>6</v>
      </c>
      <c r="I59" s="24">
        <v>1750</v>
      </c>
      <c r="J59" s="25">
        <v>0.05</v>
      </c>
      <c r="K59" s="22" t="s">
        <v>15</v>
      </c>
      <c r="L59" s="22" t="s">
        <v>7</v>
      </c>
      <c r="M59" s="22" t="s">
        <v>39</v>
      </c>
    </row>
    <row r="60" spans="1:13">
      <c r="A60" s="18" t="s">
        <v>199</v>
      </c>
      <c r="B60" s="19">
        <v>46140</v>
      </c>
      <c r="C60" s="18" t="s">
        <v>18</v>
      </c>
      <c r="D60" s="18" t="s">
        <v>2</v>
      </c>
      <c r="E60" s="18" t="s">
        <v>200</v>
      </c>
      <c r="F60" s="18" t="s">
        <v>4</v>
      </c>
      <c r="G60" s="18" t="s">
        <v>201</v>
      </c>
      <c r="H60" s="18">
        <v>5</v>
      </c>
      <c r="I60" s="20">
        <v>5300</v>
      </c>
      <c r="J60" s="21">
        <v>0.08</v>
      </c>
      <c r="K60" s="18" t="s">
        <v>6</v>
      </c>
      <c r="L60" s="18" t="s">
        <v>7</v>
      </c>
      <c r="M60" s="18" t="s">
        <v>23</v>
      </c>
    </row>
    <row r="61" spans="1:13">
      <c r="A61" s="22" t="s">
        <v>202</v>
      </c>
      <c r="B61" s="23">
        <v>46142</v>
      </c>
      <c r="C61" s="22" t="s">
        <v>25</v>
      </c>
      <c r="D61" s="22" t="s">
        <v>26</v>
      </c>
      <c r="E61" s="22" t="s">
        <v>203</v>
      </c>
      <c r="F61" s="22" t="s">
        <v>28</v>
      </c>
      <c r="G61" s="22" t="s">
        <v>204</v>
      </c>
      <c r="H61" s="22">
        <v>3</v>
      </c>
      <c r="I61" s="24">
        <v>6900</v>
      </c>
      <c r="J61" s="25">
        <v>0.06</v>
      </c>
      <c r="K61" s="22" t="s">
        <v>30</v>
      </c>
      <c r="L61" s="22" t="s">
        <v>7</v>
      </c>
      <c r="M61" s="22" t="s">
        <v>31</v>
      </c>
    </row>
    <row r="62" spans="1:13">
      <c r="A62" s="18" t="s">
        <v>205</v>
      </c>
      <c r="B62" s="19">
        <v>46144</v>
      </c>
      <c r="C62" s="18" t="s">
        <v>206</v>
      </c>
      <c r="D62" s="18" t="s">
        <v>11</v>
      </c>
      <c r="E62" s="18" t="s">
        <v>207</v>
      </c>
      <c r="F62" s="18" t="s">
        <v>4</v>
      </c>
      <c r="G62" s="18" t="s">
        <v>208</v>
      </c>
      <c r="H62" s="18">
        <v>6</v>
      </c>
      <c r="I62" s="20">
        <v>850</v>
      </c>
      <c r="J62" s="21">
        <v>0.05</v>
      </c>
      <c r="K62" s="18" t="s">
        <v>6</v>
      </c>
      <c r="L62" s="18" t="s">
        <v>7</v>
      </c>
      <c r="M62" s="18" t="s">
        <v>8</v>
      </c>
    </row>
    <row r="63" spans="1:13">
      <c r="A63" s="22" t="s">
        <v>209</v>
      </c>
      <c r="B63" s="23">
        <v>46145</v>
      </c>
      <c r="C63" s="22" t="s">
        <v>10</v>
      </c>
      <c r="D63" s="22" t="s">
        <v>2</v>
      </c>
      <c r="E63" s="22" t="s">
        <v>210</v>
      </c>
      <c r="F63" s="22" t="s">
        <v>13</v>
      </c>
      <c r="G63" s="22" t="s">
        <v>211</v>
      </c>
      <c r="H63" s="22">
        <v>4</v>
      </c>
      <c r="I63" s="24">
        <v>1650</v>
      </c>
      <c r="J63" s="25">
        <v>0.08</v>
      </c>
      <c r="K63" s="22" t="s">
        <v>15</v>
      </c>
      <c r="L63" s="22" t="s">
        <v>7</v>
      </c>
      <c r="M63" s="22" t="s">
        <v>39</v>
      </c>
    </row>
    <row r="64" spans="1:13">
      <c r="A64" s="18" t="s">
        <v>212</v>
      </c>
      <c r="B64" s="19">
        <v>46147</v>
      </c>
      <c r="C64" s="18" t="s">
        <v>18</v>
      </c>
      <c r="D64" s="18" t="s">
        <v>26</v>
      </c>
      <c r="E64" s="18" t="s">
        <v>213</v>
      </c>
      <c r="F64" s="18" t="s">
        <v>28</v>
      </c>
      <c r="G64" s="18" t="s">
        <v>214</v>
      </c>
      <c r="H64" s="18">
        <v>7</v>
      </c>
      <c r="I64" s="20">
        <v>1250</v>
      </c>
      <c r="J64" s="21">
        <v>0.04</v>
      </c>
      <c r="K64" s="18" t="s">
        <v>30</v>
      </c>
      <c r="L64" s="18" t="s">
        <v>43</v>
      </c>
      <c r="M64" s="18" t="s">
        <v>23</v>
      </c>
    </row>
    <row r="65" spans="1:13">
      <c r="A65" s="22" t="s">
        <v>212</v>
      </c>
      <c r="B65" s="23">
        <v>46147</v>
      </c>
      <c r="C65" s="22" t="s">
        <v>18</v>
      </c>
      <c r="D65" s="22" t="s">
        <v>26</v>
      </c>
      <c r="E65" s="22" t="s">
        <v>213</v>
      </c>
      <c r="F65" s="22" t="s">
        <v>28</v>
      </c>
      <c r="G65" s="22" t="s">
        <v>214</v>
      </c>
      <c r="H65" s="22">
        <v>7</v>
      </c>
      <c r="I65" s="24">
        <v>1250</v>
      </c>
      <c r="J65" s="25">
        <v>0.04</v>
      </c>
      <c r="K65" s="22" t="s">
        <v>30</v>
      </c>
      <c r="L65" s="22" t="s">
        <v>43</v>
      </c>
      <c r="M65" s="22" t="s">
        <v>23</v>
      </c>
    </row>
    <row r="66" spans="1:13">
      <c r="A66" s="18" t="s">
        <v>215</v>
      </c>
      <c r="B66" s="19">
        <v>46149</v>
      </c>
      <c r="C66" s="18" t="s">
        <v>25</v>
      </c>
      <c r="D66" s="18" t="s">
        <v>11</v>
      </c>
      <c r="E66" s="18" t="s">
        <v>216</v>
      </c>
      <c r="F66" s="18" t="s">
        <v>4</v>
      </c>
      <c r="G66" s="18" t="s">
        <v>217</v>
      </c>
      <c r="H66" s="18">
        <v>0</v>
      </c>
      <c r="I66" s="20">
        <v>450</v>
      </c>
      <c r="J66" s="21">
        <v>0</v>
      </c>
      <c r="K66" s="18" t="s">
        <v>22</v>
      </c>
      <c r="L66" s="18" t="s">
        <v>105</v>
      </c>
      <c r="M66" s="18" t="s">
        <v>31</v>
      </c>
    </row>
    <row r="67" spans="1:13">
      <c r="A67" s="22" t="s">
        <v>218</v>
      </c>
      <c r="B67" s="23">
        <v>46151</v>
      </c>
      <c r="C67" s="22" t="s">
        <v>1</v>
      </c>
      <c r="D67" s="22" t="s">
        <v>2</v>
      </c>
      <c r="E67" s="22" t="s">
        <v>219</v>
      </c>
      <c r="F67" s="22" t="s">
        <v>20</v>
      </c>
      <c r="G67" s="22" t="s">
        <v>220</v>
      </c>
      <c r="H67" s="22">
        <v>5</v>
      </c>
      <c r="I67" s="24">
        <v>980</v>
      </c>
      <c r="J67" s="25">
        <v>0.05</v>
      </c>
      <c r="K67" s="22" t="s">
        <v>6</v>
      </c>
      <c r="L67" s="22" t="s">
        <v>7</v>
      </c>
      <c r="M67" s="22" t="s">
        <v>8</v>
      </c>
    </row>
    <row r="68" spans="1:13">
      <c r="A68" s="18" t="s">
        <v>221</v>
      </c>
      <c r="B68" s="19">
        <v>46152</v>
      </c>
      <c r="C68" s="18" t="s">
        <v>10</v>
      </c>
      <c r="D68" s="18" t="s">
        <v>11</v>
      </c>
      <c r="E68" s="18" t="s">
        <v>222</v>
      </c>
      <c r="F68" s="18" t="s">
        <v>34</v>
      </c>
      <c r="G68" s="18" t="s">
        <v>223</v>
      </c>
      <c r="H68" s="18">
        <v>3</v>
      </c>
      <c r="I68" s="20">
        <v>700</v>
      </c>
      <c r="J68" s="21">
        <v>0.1</v>
      </c>
      <c r="K68" s="18" t="s">
        <v>15</v>
      </c>
      <c r="L68" s="18" t="s">
        <v>7</v>
      </c>
      <c r="M68" s="18" t="s">
        <v>39</v>
      </c>
    </row>
    <row r="69" spans="1:13">
      <c r="A69" s="22" t="s">
        <v>224</v>
      </c>
      <c r="B69" s="23">
        <v>46154</v>
      </c>
      <c r="C69" s="22" t="s">
        <v>18</v>
      </c>
      <c r="D69" s="22" t="s">
        <v>2</v>
      </c>
      <c r="E69" s="22" t="s">
        <v>225</v>
      </c>
      <c r="F69" s="22" t="s">
        <v>13</v>
      </c>
      <c r="G69" s="22" t="s">
        <v>226</v>
      </c>
      <c r="H69" s="22">
        <v>2</v>
      </c>
      <c r="I69" s="24">
        <v>2300</v>
      </c>
      <c r="J69" s="25">
        <v>0.05</v>
      </c>
      <c r="K69" s="22" t="s">
        <v>6</v>
      </c>
      <c r="L69" s="22" t="s">
        <v>7</v>
      </c>
      <c r="M69" s="22" t="s">
        <v>23</v>
      </c>
    </row>
    <row r="70" spans="1:13">
      <c r="A70" s="18" t="s">
        <v>227</v>
      </c>
      <c r="B70" s="19">
        <v>46156</v>
      </c>
      <c r="C70" s="18" t="s">
        <v>25</v>
      </c>
      <c r="D70" s="18" t="s">
        <v>26</v>
      </c>
      <c r="E70" s="18" t="s">
        <v>228</v>
      </c>
      <c r="F70" s="18" t="s">
        <v>28</v>
      </c>
      <c r="G70" s="18" t="s">
        <v>229</v>
      </c>
      <c r="H70" s="18">
        <v>2</v>
      </c>
      <c r="I70" s="20">
        <v>5600</v>
      </c>
      <c r="J70" s="21">
        <v>7.0000000000000007E-2</v>
      </c>
      <c r="K70" s="18" t="s">
        <v>30</v>
      </c>
      <c r="L70" s="18" t="s">
        <v>7</v>
      </c>
      <c r="M70" s="18" t="s">
        <v>31</v>
      </c>
    </row>
    <row r="71" spans="1:13">
      <c r="A71" s="22" t="s">
        <v>230</v>
      </c>
      <c r="B71" s="23">
        <v>46158</v>
      </c>
      <c r="C71" s="22" t="s">
        <v>1</v>
      </c>
      <c r="D71" s="22" t="s">
        <v>11</v>
      </c>
      <c r="E71" s="22" t="s">
        <v>231</v>
      </c>
      <c r="F71" s="22" t="s">
        <v>4</v>
      </c>
      <c r="G71" s="22" t="s">
        <v>232</v>
      </c>
      <c r="H71" s="22">
        <v>4</v>
      </c>
      <c r="I71" s="24">
        <v>3900</v>
      </c>
      <c r="J71" s="25">
        <v>0.06</v>
      </c>
      <c r="K71" s="22" t="s">
        <v>15</v>
      </c>
      <c r="L71" s="22" t="s">
        <v>7</v>
      </c>
      <c r="M71" s="22" t="s">
        <v>8</v>
      </c>
    </row>
    <row r="72" spans="1:13">
      <c r="A72" s="18" t="s">
        <v>233</v>
      </c>
      <c r="B72" s="19">
        <v>46160</v>
      </c>
      <c r="C72" s="18" t="s">
        <v>10</v>
      </c>
      <c r="D72" s="18" t="s">
        <v>2</v>
      </c>
      <c r="E72" s="18" t="s">
        <v>234</v>
      </c>
      <c r="F72" s="18" t="s">
        <v>20</v>
      </c>
      <c r="G72" s="18" t="s">
        <v>235</v>
      </c>
      <c r="H72" s="18">
        <v>9</v>
      </c>
      <c r="I72" s="20">
        <v>220</v>
      </c>
      <c r="J72" s="21">
        <v>0</v>
      </c>
      <c r="K72" s="18" t="s">
        <v>22</v>
      </c>
      <c r="L72" s="18" t="s">
        <v>7</v>
      </c>
      <c r="M72" s="18" t="s">
        <v>39</v>
      </c>
    </row>
    <row r="73" spans="1:13">
      <c r="A73" s="22" t="s">
        <v>236</v>
      </c>
      <c r="B73" s="23">
        <v>46162</v>
      </c>
      <c r="C73" s="22" t="s">
        <v>18</v>
      </c>
      <c r="D73" s="22" t="s">
        <v>11</v>
      </c>
      <c r="E73" s="22" t="s">
        <v>237</v>
      </c>
      <c r="F73" s="22" t="s">
        <v>34</v>
      </c>
      <c r="G73" s="22" t="s">
        <v>238</v>
      </c>
      <c r="H73" s="22">
        <v>5</v>
      </c>
      <c r="I73" s="24">
        <v>1150</v>
      </c>
      <c r="J73" s="25">
        <v>0.08</v>
      </c>
      <c r="K73" s="22" t="s">
        <v>15</v>
      </c>
      <c r="L73" s="22" t="s">
        <v>7</v>
      </c>
      <c r="M73" s="22" t="s">
        <v>23</v>
      </c>
    </row>
    <row r="74" spans="1:13">
      <c r="A74" s="18" t="s">
        <v>239</v>
      </c>
      <c r="B74" s="19">
        <v>46164</v>
      </c>
      <c r="C74" s="18" t="s">
        <v>25</v>
      </c>
      <c r="D74" s="18" t="s">
        <v>2</v>
      </c>
      <c r="E74" s="18" t="s">
        <v>240</v>
      </c>
      <c r="F74" s="18" t="s">
        <v>13</v>
      </c>
      <c r="G74" s="18" t="s">
        <v>241</v>
      </c>
      <c r="H74" s="18">
        <v>6</v>
      </c>
      <c r="I74" s="20">
        <v>890</v>
      </c>
      <c r="J74" s="21">
        <v>0.05</v>
      </c>
      <c r="K74" s="18" t="s">
        <v>6</v>
      </c>
      <c r="L74" s="18" t="s">
        <v>7</v>
      </c>
      <c r="M74" s="18" t="s">
        <v>31</v>
      </c>
    </row>
    <row r="75" spans="1:13">
      <c r="A75" s="22" t="s">
        <v>242</v>
      </c>
      <c r="B75" s="23">
        <v>46166</v>
      </c>
      <c r="C75" s="22" t="s">
        <v>1</v>
      </c>
      <c r="D75" s="22" t="s">
        <v>26</v>
      </c>
      <c r="E75" s="22" t="s">
        <v>243</v>
      </c>
      <c r="F75" s="22" t="s">
        <v>4</v>
      </c>
      <c r="G75" s="22" t="s">
        <v>244</v>
      </c>
      <c r="H75" s="22">
        <v>2</v>
      </c>
      <c r="I75" s="24">
        <v>12500</v>
      </c>
      <c r="J75" s="25">
        <v>0.1</v>
      </c>
      <c r="K75" s="22" t="s">
        <v>30</v>
      </c>
      <c r="L75" s="22" t="s">
        <v>7</v>
      </c>
      <c r="M75" s="22" t="s">
        <v>8</v>
      </c>
    </row>
    <row r="76" spans="1:13">
      <c r="A76" s="18" t="s">
        <v>245</v>
      </c>
      <c r="B76" s="19">
        <v>46168</v>
      </c>
      <c r="C76" s="18" t="s">
        <v>10</v>
      </c>
      <c r="D76" s="18" t="s">
        <v>11</v>
      </c>
      <c r="E76" s="18" t="s">
        <v>246</v>
      </c>
      <c r="F76" s="18" t="s">
        <v>28</v>
      </c>
      <c r="G76" s="18" t="s">
        <v>247</v>
      </c>
      <c r="H76" s="18">
        <v>8</v>
      </c>
      <c r="I76" s="20">
        <v>950</v>
      </c>
      <c r="J76" s="21">
        <v>0.05</v>
      </c>
      <c r="K76" s="18" t="s">
        <v>15</v>
      </c>
      <c r="L76" s="18" t="s">
        <v>7</v>
      </c>
      <c r="M76" s="18" t="s">
        <v>39</v>
      </c>
    </row>
    <row r="77" spans="1:13">
      <c r="A77" s="22" t="s">
        <v>248</v>
      </c>
      <c r="B77" s="23">
        <v>46170</v>
      </c>
      <c r="C77" s="22" t="s">
        <v>18</v>
      </c>
      <c r="D77" s="22" t="s">
        <v>2</v>
      </c>
      <c r="E77" s="22" t="s">
        <v>249</v>
      </c>
      <c r="F77" s="22" t="s">
        <v>20</v>
      </c>
      <c r="G77" s="22" t="s">
        <v>250</v>
      </c>
      <c r="H77" s="22">
        <v>11</v>
      </c>
      <c r="I77" s="24">
        <v>310</v>
      </c>
      <c r="J77" s="25">
        <v>0.02</v>
      </c>
      <c r="K77" s="22" t="s">
        <v>6</v>
      </c>
      <c r="L77" s="22" t="s">
        <v>7</v>
      </c>
      <c r="M77" s="22" t="s">
        <v>23</v>
      </c>
    </row>
    <row r="78" spans="1:13">
      <c r="A78" s="18" t="s">
        <v>251</v>
      </c>
      <c r="B78" s="19">
        <v>46172</v>
      </c>
      <c r="C78" s="18" t="s">
        <v>25</v>
      </c>
      <c r="D78" s="18" t="s">
        <v>26</v>
      </c>
      <c r="E78" s="18" t="s">
        <v>252</v>
      </c>
      <c r="F78" s="18" t="s">
        <v>13</v>
      </c>
      <c r="G78" s="18" t="s">
        <v>253</v>
      </c>
      <c r="H78" s="18">
        <v>2</v>
      </c>
      <c r="I78" s="20">
        <v>4800</v>
      </c>
      <c r="J78" s="21">
        <v>0.06</v>
      </c>
      <c r="K78" s="18" t="s">
        <v>30</v>
      </c>
      <c r="L78" s="18" t="s">
        <v>7</v>
      </c>
      <c r="M78" s="18" t="s">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dashboard</vt:lpstr>
      <vt:lpstr>Sheet1</vt:lpstr>
      <vt:lpstr>answers</vt:lpstr>
      <vt:lpstr>lookuptable</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Latheesh</dc:creator>
  <cp:lastModifiedBy>Neha Latheesh</cp:lastModifiedBy>
  <dcterms:created xsi:type="dcterms:W3CDTF">2026-10-18T06:05:00Z</dcterms:created>
  <dcterms:modified xsi:type="dcterms:W3CDTF">2026-10-19T05:07:47Z</dcterms:modified>
</cp:coreProperties>
</file>